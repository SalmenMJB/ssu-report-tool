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Secrétariat RA\Statistiques\Standard\2025-2026\"/>
    </mc:Choice>
  </mc:AlternateContent>
  <xr:revisionPtr revIDLastSave="0" documentId="13_ncr:1_{7EC50BA0-89B2-45B1-9683-7864C95E2EC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I20" i="1"/>
  <c r="J17" i="1"/>
  <c r="K9" i="1"/>
  <c r="K8" i="1"/>
  <c r="K7" i="1"/>
  <c r="K6" i="1"/>
  <c r="K5" i="1"/>
  <c r="M14" i="1"/>
  <c r="M13" i="1"/>
  <c r="E17" i="1"/>
  <c r="H17" i="1"/>
  <c r="I14" i="1"/>
  <c r="I13" i="1"/>
  <c r="I12" i="1"/>
  <c r="I11" i="1"/>
  <c r="I10" i="1"/>
  <c r="I9" i="1"/>
  <c r="I8" i="1"/>
  <c r="I7" i="1"/>
  <c r="I6" i="1"/>
  <c r="I5" i="1"/>
  <c r="F17" i="1"/>
  <c r="Q7" i="1"/>
  <c r="P7" i="1"/>
  <c r="N7" i="1"/>
  <c r="G16" i="1"/>
  <c r="G15" i="1"/>
  <c r="G14" i="1"/>
  <c r="G13" i="1"/>
  <c r="G12" i="1"/>
  <c r="G11" i="1"/>
  <c r="G10" i="1"/>
  <c r="G9" i="1"/>
  <c r="G8" i="1"/>
  <c r="G7" i="1"/>
  <c r="G6" i="1"/>
  <c r="G5" i="1"/>
  <c r="C17" i="1"/>
  <c r="D17" i="1"/>
  <c r="B17" i="1"/>
</calcChain>
</file>

<file path=xl/sharedStrings.xml><?xml version="1.0" encoding="utf-8"?>
<sst xmlns="http://schemas.openxmlformats.org/spreadsheetml/2006/main" count="42" uniqueCount="39">
  <si>
    <t>Mois</t>
  </si>
  <si>
    <t>Nb appels 
2020-2021</t>
  </si>
  <si>
    <t>Nb appels 
2021-2022</t>
  </si>
  <si>
    <t>Nb appels 
2022-2023</t>
  </si>
  <si>
    <t>Nb appels
2023-2024</t>
  </si>
  <si>
    <t>Nb appels 2024-2025</t>
  </si>
  <si>
    <t>M appels 
reçus/jour
en 23/24</t>
  </si>
  <si>
    <t>Nb appels
2024-2025</t>
  </si>
  <si>
    <t>M appels 
reçus/jour
en 24/25</t>
  </si>
  <si>
    <t>Nb appel 2025-2026</t>
  </si>
  <si>
    <t>M appels reçus/jour</t>
  </si>
  <si>
    <t>Pour info, 683 appels reçus  du 26 au 30/08/24, soit une moyenne de 137 par jour</t>
  </si>
  <si>
    <t>août</t>
  </si>
  <si>
    <t>?</t>
  </si>
  <si>
    <t>sept</t>
  </si>
  <si>
    <t>oct</t>
  </si>
  <si>
    <t>nov</t>
  </si>
  <si>
    <t>déc</t>
  </si>
  <si>
    <t>31h06</t>
  </si>
  <si>
    <t>temps moyen 2 mn</t>
  </si>
  <si>
    <t>durée 31:06:47</t>
  </si>
  <si>
    <t>janv</t>
  </si>
  <si>
    <t>60h42</t>
  </si>
  <si>
    <t>temps moyen de 2 mn 12</t>
  </si>
  <si>
    <t>févr</t>
  </si>
  <si>
    <t>mars</t>
  </si>
  <si>
    <t>avr</t>
  </si>
  <si>
    <t>mai</t>
  </si>
  <si>
    <t>juin</t>
  </si>
  <si>
    <t>juil</t>
  </si>
  <si>
    <t>Sur 1 an</t>
  </si>
  <si>
    <t>En 2023/2024, sur 19 182 appels, 806 ont été perdus (raccrochés par appelant), 
soit une moyenne de 3,8 par jour ouvré</t>
  </si>
  <si>
    <t>Appels Standard</t>
  </si>
  <si>
    <t xml:space="preserve">Nbre d'appels </t>
  </si>
  <si>
    <t>21/08/2023 au 13/11/2023</t>
  </si>
  <si>
    <t>26/08/2024 au 13/11/2024</t>
  </si>
  <si>
    <t>Nbre de 
consultations</t>
  </si>
  <si>
    <t>Etudiants différents
 vus en consultation</t>
  </si>
  <si>
    <t>Evolution du nombre d'appels reçus au standard 2021-2021 à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</si>
</sst>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DD6F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right" indent="1"/>
    </xf>
    <xf numFmtId="164" fontId="1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1" fillId="2" borderId="1" xfId="0" applyNumberFormat="1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right" vertical="center" indent="1"/>
    </xf>
    <xf numFmtId="1" fontId="0" fillId="0" borderId="0" xfId="0" applyNumberFormat="1" applyAlignment="1">
      <alignment horizontal="right" indent="1"/>
    </xf>
    <xf numFmtId="1" fontId="0" fillId="0" borderId="0" xfId="0" applyNumberFormat="1" applyAlignment="1">
      <alignment horizontal="left" indent="1"/>
    </xf>
    <xf numFmtId="164" fontId="1" fillId="3" borderId="1" xfId="0" applyNumberFormat="1" applyFont="1" applyFill="1" applyBorder="1" applyAlignment="1">
      <alignment horizontal="right" vertical="center" wrapText="1" inden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164" fontId="1" fillId="2" borderId="3" xfId="0" applyNumberFormat="1" applyFont="1" applyFill="1" applyBorder="1" applyAlignment="1">
      <alignment horizontal="right" vertical="center" indent="1"/>
    </xf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 wrapText="1" indent="1"/>
    </xf>
    <xf numFmtId="164" fontId="1" fillId="0" borderId="2" xfId="0" applyNumberFormat="1" applyFont="1" applyBorder="1" applyAlignment="1">
      <alignment horizontal="right" wrapText="1" indent="1"/>
    </xf>
    <xf numFmtId="0" fontId="1" fillId="0" borderId="4" xfId="0" applyFont="1" applyBorder="1"/>
    <xf numFmtId="1" fontId="0" fillId="2" borderId="2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4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inden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wrapText="1" indent="1"/>
    </xf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DD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Comparatif</a:t>
            </a:r>
            <a:r>
              <a:rPr lang="fr-FR" baseline="0"/>
              <a:t> du nombre d'appels mensuels de 20/21 à 23/24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14081874451730408"/>
          <c:y val="2.4436799125662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Nb appels 
2020-2021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Feuil1!$A$6:$A$15</c:f>
              <c:strCache>
                <c:ptCount val="10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déc</c:v>
                </c:pt>
                <c:pt idx="4">
                  <c:v>janv</c:v>
                </c:pt>
                <c:pt idx="5">
                  <c:v>févr</c:v>
                </c:pt>
                <c:pt idx="6">
                  <c:v>mars</c:v>
                </c:pt>
                <c:pt idx="7">
                  <c:v>avr</c:v>
                </c:pt>
                <c:pt idx="8">
                  <c:v>mai</c:v>
                </c:pt>
                <c:pt idx="9">
                  <c:v>juin</c:v>
                </c:pt>
              </c:strCache>
            </c:strRef>
          </c:cat>
          <c:val>
            <c:numRef>
              <c:f>Feuil1!$B$5:$B$16</c:f>
              <c:numCache>
                <c:formatCode>0</c:formatCode>
                <c:ptCount val="12"/>
                <c:pt idx="0">
                  <c:v>603</c:v>
                </c:pt>
                <c:pt idx="1">
                  <c:v>3039</c:v>
                </c:pt>
                <c:pt idx="2">
                  <c:v>2425</c:v>
                </c:pt>
                <c:pt idx="3">
                  <c:v>1464</c:v>
                </c:pt>
                <c:pt idx="4">
                  <c:v>957</c:v>
                </c:pt>
                <c:pt idx="5">
                  <c:v>1557</c:v>
                </c:pt>
                <c:pt idx="6">
                  <c:v>1477</c:v>
                </c:pt>
                <c:pt idx="7">
                  <c:v>1746</c:v>
                </c:pt>
                <c:pt idx="8">
                  <c:v>1457</c:v>
                </c:pt>
                <c:pt idx="9">
                  <c:v>1115</c:v>
                </c:pt>
                <c:pt idx="10">
                  <c:v>737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2-4845-AB5A-EFC16457E551}"/>
            </c:ext>
          </c:extLst>
        </c:ser>
        <c:ser>
          <c:idx val="1"/>
          <c:order val="1"/>
          <c:tx>
            <c:strRef>
              <c:f>Feuil1!$C$4</c:f>
              <c:strCache>
                <c:ptCount val="1"/>
                <c:pt idx="0">
                  <c:v>Nb appels 
2021-2022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Feuil1!$A$6:$A$15</c:f>
              <c:strCache>
                <c:ptCount val="10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déc</c:v>
                </c:pt>
                <c:pt idx="4">
                  <c:v>janv</c:v>
                </c:pt>
                <c:pt idx="5">
                  <c:v>févr</c:v>
                </c:pt>
                <c:pt idx="6">
                  <c:v>mars</c:v>
                </c:pt>
                <c:pt idx="7">
                  <c:v>avr</c:v>
                </c:pt>
                <c:pt idx="8">
                  <c:v>mai</c:v>
                </c:pt>
                <c:pt idx="9">
                  <c:v>juin</c:v>
                </c:pt>
              </c:strCache>
            </c:strRef>
          </c:cat>
          <c:val>
            <c:numRef>
              <c:f>Feuil1!$C$5:$C$16</c:f>
              <c:numCache>
                <c:formatCode>General</c:formatCode>
                <c:ptCount val="12"/>
                <c:pt idx="0">
                  <c:v>0</c:v>
                </c:pt>
                <c:pt idx="1">
                  <c:v>2823</c:v>
                </c:pt>
                <c:pt idx="2">
                  <c:v>2656</c:v>
                </c:pt>
                <c:pt idx="3">
                  <c:v>2320</c:v>
                </c:pt>
                <c:pt idx="4">
                  <c:v>1336</c:v>
                </c:pt>
                <c:pt idx="5">
                  <c:v>2222</c:v>
                </c:pt>
                <c:pt idx="6">
                  <c:v>1414</c:v>
                </c:pt>
                <c:pt idx="7">
                  <c:v>2874</c:v>
                </c:pt>
                <c:pt idx="8">
                  <c:v>1428</c:v>
                </c:pt>
                <c:pt idx="9">
                  <c:v>1326</c:v>
                </c:pt>
                <c:pt idx="10">
                  <c:v>1250</c:v>
                </c:pt>
                <c:pt idx="11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2-4845-AB5A-EFC16457E551}"/>
            </c:ext>
          </c:extLst>
        </c:ser>
        <c:ser>
          <c:idx val="2"/>
          <c:order val="2"/>
          <c:tx>
            <c:strRef>
              <c:f>Feuil1!$D$4</c:f>
              <c:strCache>
                <c:ptCount val="1"/>
                <c:pt idx="0">
                  <c:v>Nb appels 
2022-2023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Feuil1!$D$5:$D$16</c:f>
              <c:numCache>
                <c:formatCode>General</c:formatCode>
                <c:ptCount val="12"/>
                <c:pt idx="0">
                  <c:v>686</c:v>
                </c:pt>
                <c:pt idx="1">
                  <c:v>2615</c:v>
                </c:pt>
                <c:pt idx="2">
                  <c:v>2256</c:v>
                </c:pt>
                <c:pt idx="3">
                  <c:v>1159</c:v>
                </c:pt>
                <c:pt idx="4">
                  <c:v>973</c:v>
                </c:pt>
                <c:pt idx="5">
                  <c:v>1886</c:v>
                </c:pt>
                <c:pt idx="6">
                  <c:v>1331</c:v>
                </c:pt>
                <c:pt idx="7">
                  <c:v>1685</c:v>
                </c:pt>
                <c:pt idx="8">
                  <c:v>1092</c:v>
                </c:pt>
                <c:pt idx="9">
                  <c:v>1140</c:v>
                </c:pt>
                <c:pt idx="10">
                  <c:v>1133</c:v>
                </c:pt>
                <c:pt idx="11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3-4F9F-B7E7-4142E5B9CA0B}"/>
            </c:ext>
          </c:extLst>
        </c:ser>
        <c:ser>
          <c:idx val="3"/>
          <c:order val="3"/>
          <c:tx>
            <c:strRef>
              <c:f>Feuil1!$E$4</c:f>
              <c:strCache>
                <c:ptCount val="1"/>
                <c:pt idx="0">
                  <c:v>Nb appels
2023-2024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Feuil1!$E$5:$E$16</c:f>
              <c:numCache>
                <c:formatCode>General</c:formatCode>
                <c:ptCount val="12"/>
                <c:pt idx="0">
                  <c:v>784</c:v>
                </c:pt>
                <c:pt idx="1">
                  <c:v>3251</c:v>
                </c:pt>
                <c:pt idx="2">
                  <c:v>2524</c:v>
                </c:pt>
                <c:pt idx="3">
                  <c:v>2265</c:v>
                </c:pt>
                <c:pt idx="4">
                  <c:v>1293</c:v>
                </c:pt>
                <c:pt idx="5">
                  <c:v>1917</c:v>
                </c:pt>
                <c:pt idx="6">
                  <c:v>1668</c:v>
                </c:pt>
                <c:pt idx="7">
                  <c:v>1401</c:v>
                </c:pt>
                <c:pt idx="8">
                  <c:v>1426</c:v>
                </c:pt>
                <c:pt idx="9">
                  <c:v>1133</c:v>
                </c:pt>
                <c:pt idx="10">
                  <c:v>950</c:v>
                </c:pt>
                <c:pt idx="11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3-4F9F-B7E7-4142E5B9C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0778576"/>
        <c:axId val="610779824"/>
      </c:barChart>
      <c:catAx>
        <c:axId val="6107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79824"/>
        <c:crosses val="autoZero"/>
        <c:auto val="1"/>
        <c:lblAlgn val="ctr"/>
        <c:lblOffset val="100"/>
        <c:noMultiLvlLbl val="0"/>
      </c:catAx>
      <c:valAx>
        <c:axId val="6107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moyen</a:t>
            </a:r>
            <a:r>
              <a:rPr lang="en-US" baseline="0"/>
              <a:t> d'appels / jour en 2023/24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Feuil1!$G$4</c:f>
              <c:strCache>
                <c:ptCount val="1"/>
                <c:pt idx="0">
                  <c:v>M appels 
reçus/jour
en 23/24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Feuil1!$A$6:$A$17</c15:sqref>
                  </c15:fullRef>
                </c:ext>
              </c:extLst>
              <c:f>Feuil1!$A$6:$A$16</c:f>
              <c:strCache>
                <c:ptCount val="11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déc</c:v>
                </c:pt>
                <c:pt idx="4">
                  <c:v>janv</c:v>
                </c:pt>
                <c:pt idx="5">
                  <c:v>févr</c:v>
                </c:pt>
                <c:pt idx="6">
                  <c:v>mars</c:v>
                </c:pt>
                <c:pt idx="7">
                  <c:v>avr</c:v>
                </c:pt>
                <c:pt idx="8">
                  <c:v>mai</c:v>
                </c:pt>
                <c:pt idx="9">
                  <c:v>juin</c:v>
                </c:pt>
                <c:pt idx="10">
                  <c:v>juil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Feuil1!$G$6:$G$17</c15:sqref>
                  </c15:fullRef>
                </c:ext>
              </c:extLst>
              <c:f>Feuil1!$G$6:$G$16</c:f>
              <c:numCache>
                <c:formatCode>0</c:formatCode>
                <c:ptCount val="11"/>
                <c:pt idx="0">
                  <c:v>154.8095238095238</c:v>
                </c:pt>
                <c:pt idx="1">
                  <c:v>114.72727272727273</c:v>
                </c:pt>
                <c:pt idx="2">
                  <c:v>107.85714285714286</c:v>
                </c:pt>
                <c:pt idx="3">
                  <c:v>80.8125</c:v>
                </c:pt>
                <c:pt idx="4">
                  <c:v>106.5</c:v>
                </c:pt>
                <c:pt idx="5">
                  <c:v>79.428571428571431</c:v>
                </c:pt>
                <c:pt idx="6">
                  <c:v>66.714285714285708</c:v>
                </c:pt>
                <c:pt idx="7">
                  <c:v>67.904761904761898</c:v>
                </c:pt>
                <c:pt idx="8">
                  <c:v>62.944444444444443</c:v>
                </c:pt>
                <c:pt idx="9">
                  <c:v>47.5</c:v>
                </c:pt>
                <c:pt idx="1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F-44E4-A699-4F3751A1B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38480"/>
        <c:axId val="763452208"/>
      </c:barChart>
      <c:catAx>
        <c:axId val="76343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2208"/>
        <c:crosses val="autoZero"/>
        <c:auto val="1"/>
        <c:lblAlgn val="ctr"/>
        <c:lblOffset val="100"/>
        <c:noMultiLvlLbl val="0"/>
      </c:catAx>
      <c:valAx>
        <c:axId val="7634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3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1586</xdr:colOff>
      <xdr:row>37</xdr:row>
      <xdr:rowOff>134936</xdr:rowOff>
    </xdr:from>
    <xdr:to>
      <xdr:col>11</xdr:col>
      <xdr:colOff>85725</xdr:colOff>
      <xdr:row>60</xdr:row>
      <xdr:rowOff>95250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919B721-9490-5EA4-2E01-BE4F1D5F0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287337</xdr:colOff>
      <xdr:row>22</xdr:row>
      <xdr:rowOff>23812</xdr:rowOff>
    </xdr:from>
    <xdr:to>
      <xdr:col>6</xdr:col>
      <xdr:colOff>287337</xdr:colOff>
      <xdr:row>36</xdr:row>
      <xdr:rowOff>106362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A4EF6A3-08FD-6AA0-4A55-94151F7DD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zoomScaleNormal="100" workbookViewId="0">
      <selection activeCell="K26" sqref="K26"/>
    </sheetView>
  </sheetViews>
  <sheetFormatPr baseColWidth="10" defaultColWidth="11.44140625" defaultRowHeight="14.4" x14ac:dyDescent="0.3"/>
  <cols>
    <col min="1" max="1" width="12.109375" style="5" bestFit="1" customWidth="1"/>
    <col min="2" max="2" width="21.33203125" style="5" customWidth="1"/>
    <col min="3" max="3" width="26.33203125" customWidth="1"/>
    <col min="4" max="4" width="26" customWidth="1"/>
    <col min="5" max="5" width="15.33203125" customWidth="1"/>
    <col min="6" max="6" width="25.6640625" hidden="1" customWidth="1"/>
    <col min="7" max="9" width="16.6640625" customWidth="1"/>
    <col min="10" max="11" width="16.6640625" style="45" customWidth="1"/>
    <col min="13" max="13" width="29.109375" customWidth="1"/>
    <col min="14" max="14" width="14.5546875" customWidth="1"/>
    <col min="15" max="15" width="18.44140625" customWidth="1"/>
  </cols>
  <sheetData>
    <row r="1" spans="1:22" x14ac:dyDescent="0.3">
      <c r="A1" s="1" t="s">
        <v>38</v>
      </c>
      <c r="B1" s="1"/>
    </row>
    <row r="4" spans="1:22" s="2" customFormat="1" ht="49.5" customHeight="1" x14ac:dyDescent="0.3">
      <c r="A4" s="6" t="s">
        <v>0</v>
      </c>
      <c r="B4" s="18" t="s">
        <v>1</v>
      </c>
      <c r="C4" s="9" t="s">
        <v>2</v>
      </c>
      <c r="D4" s="9" t="s">
        <v>3</v>
      </c>
      <c r="E4" s="9" t="s">
        <v>4</v>
      </c>
      <c r="F4" s="20" t="s">
        <v>5</v>
      </c>
      <c r="G4" s="9" t="s">
        <v>6</v>
      </c>
      <c r="H4" s="34" t="s">
        <v>7</v>
      </c>
      <c r="I4" s="9" t="s">
        <v>8</v>
      </c>
      <c r="J4" s="42" t="s">
        <v>9</v>
      </c>
      <c r="K4" s="47" t="s">
        <v>10</v>
      </c>
      <c r="N4" s="13"/>
      <c r="O4" s="13"/>
      <c r="U4" s="13" t="s">
        <v>11</v>
      </c>
      <c r="V4" s="13"/>
    </row>
    <row r="5" spans="1:22" s="2" customFormat="1" ht="18" customHeight="1" x14ac:dyDescent="0.3">
      <c r="A5" s="8" t="s">
        <v>12</v>
      </c>
      <c r="B5" s="10">
        <v>603</v>
      </c>
      <c r="C5" s="4" t="s">
        <v>13</v>
      </c>
      <c r="D5" s="4">
        <v>686</v>
      </c>
      <c r="E5" s="4">
        <v>784</v>
      </c>
      <c r="F5" s="21">
        <v>668</v>
      </c>
      <c r="G5" s="32">
        <f>E5/5</f>
        <v>156.80000000000001</v>
      </c>
      <c r="H5" s="39">
        <v>668</v>
      </c>
      <c r="I5" s="43">
        <f>668/5</f>
        <v>133.6</v>
      </c>
      <c r="J5" s="48">
        <v>702</v>
      </c>
      <c r="K5" s="40">
        <f>702/5</f>
        <v>140.4</v>
      </c>
      <c r="L5" s="13"/>
      <c r="M5" s="13"/>
    </row>
    <row r="6" spans="1:22" s="3" customFormat="1" ht="18" customHeight="1" x14ac:dyDescent="0.3">
      <c r="A6" s="8" t="s">
        <v>14</v>
      </c>
      <c r="B6" s="10">
        <v>3039</v>
      </c>
      <c r="C6" s="4">
        <v>2823</v>
      </c>
      <c r="D6" s="4">
        <v>2615</v>
      </c>
      <c r="E6" s="4">
        <v>3251</v>
      </c>
      <c r="F6" s="21">
        <v>2729</v>
      </c>
      <c r="G6" s="32">
        <f>E6/21</f>
        <v>154.8095238095238</v>
      </c>
      <c r="H6" s="36">
        <v>2729</v>
      </c>
      <c r="I6" s="43">
        <f>H6/21</f>
        <v>129.95238095238096</v>
      </c>
      <c r="J6" s="36">
        <v>2968</v>
      </c>
      <c r="K6" s="40">
        <f>J6/22</f>
        <v>134.90909090909091</v>
      </c>
    </row>
    <row r="7" spans="1:22" s="3" customFormat="1" ht="18" customHeight="1" x14ac:dyDescent="0.3">
      <c r="A7" s="8" t="s">
        <v>15</v>
      </c>
      <c r="B7" s="10">
        <v>2425</v>
      </c>
      <c r="C7" s="4">
        <v>2656</v>
      </c>
      <c r="D7" s="4">
        <v>2256</v>
      </c>
      <c r="E7" s="4">
        <v>2524</v>
      </c>
      <c r="F7" s="21">
        <v>2539</v>
      </c>
      <c r="G7" s="32">
        <f>E7/22</f>
        <v>114.72727272727273</v>
      </c>
      <c r="H7" s="36">
        <v>2539</v>
      </c>
      <c r="I7" s="43">
        <f>H7/21</f>
        <v>120.9047619047619</v>
      </c>
      <c r="J7" s="43">
        <v>1977</v>
      </c>
      <c r="K7" s="40">
        <f>J7/23</f>
        <v>85.956521739130437</v>
      </c>
      <c r="L7" s="3">
        <v>2729</v>
      </c>
      <c r="N7" s="3">
        <f>L7/21</f>
        <v>129.95238095238096</v>
      </c>
      <c r="P7" s="3">
        <f>668/5</f>
        <v>133.6</v>
      </c>
      <c r="Q7" s="3">
        <f>130/3</f>
        <v>43.333333333333336</v>
      </c>
    </row>
    <row r="8" spans="1:22" s="3" customFormat="1" ht="18" customHeight="1" x14ac:dyDescent="0.3">
      <c r="A8" s="8" t="s">
        <v>16</v>
      </c>
      <c r="B8" s="10">
        <v>1464</v>
      </c>
      <c r="C8" s="4">
        <v>2320</v>
      </c>
      <c r="D8" s="4">
        <v>1159</v>
      </c>
      <c r="E8" s="4">
        <v>2265</v>
      </c>
      <c r="F8" s="21"/>
      <c r="G8" s="32">
        <f>E8/21</f>
        <v>107.85714285714286</v>
      </c>
      <c r="H8" s="36">
        <v>1924</v>
      </c>
      <c r="I8" s="43">
        <f>H8/19</f>
        <v>101.26315789473684</v>
      </c>
      <c r="J8" s="43">
        <v>1785</v>
      </c>
      <c r="K8" s="40">
        <f>J8/19</f>
        <v>93.94736842105263</v>
      </c>
    </row>
    <row r="9" spans="1:22" s="3" customFormat="1" ht="18" customHeight="1" x14ac:dyDescent="0.3">
      <c r="A9" s="8" t="s">
        <v>17</v>
      </c>
      <c r="B9" s="10">
        <v>957</v>
      </c>
      <c r="C9" s="4">
        <v>1336</v>
      </c>
      <c r="D9" s="4">
        <v>973</v>
      </c>
      <c r="E9" s="4">
        <v>1293</v>
      </c>
      <c r="F9" s="21"/>
      <c r="G9" s="32">
        <f>E9/16</f>
        <v>80.8125</v>
      </c>
      <c r="H9" s="36">
        <v>1234</v>
      </c>
      <c r="I9" s="43">
        <f>H9/15</f>
        <v>82.266666666666666</v>
      </c>
      <c r="J9" s="43">
        <v>1057</v>
      </c>
      <c r="K9" s="40">
        <f>J9/15</f>
        <v>70.466666666666669</v>
      </c>
      <c r="L9" s="3" t="s">
        <v>18</v>
      </c>
      <c r="M9" s="3" t="s">
        <v>19</v>
      </c>
      <c r="N9" s="3" t="s">
        <v>20</v>
      </c>
    </row>
    <row r="10" spans="1:22" s="3" customFormat="1" ht="18" customHeight="1" x14ac:dyDescent="0.3">
      <c r="A10" s="8" t="s">
        <v>21</v>
      </c>
      <c r="B10" s="10">
        <v>1557</v>
      </c>
      <c r="C10" s="4">
        <v>2222</v>
      </c>
      <c r="D10" s="4">
        <v>1886</v>
      </c>
      <c r="E10" s="4">
        <v>1917</v>
      </c>
      <c r="F10" s="21"/>
      <c r="G10" s="32">
        <f>E10/18</f>
        <v>106.5</v>
      </c>
      <c r="H10" s="36">
        <v>1916</v>
      </c>
      <c r="I10" s="43">
        <f>H10/19</f>
        <v>100.84210526315789</v>
      </c>
      <c r="J10" s="43">
        <v>1654</v>
      </c>
      <c r="K10" s="40">
        <f>J10/20</f>
        <v>82.7</v>
      </c>
      <c r="L10" s="3" t="s">
        <v>22</v>
      </c>
      <c r="M10" s="3" t="s">
        <v>23</v>
      </c>
    </row>
    <row r="11" spans="1:22" s="3" customFormat="1" ht="18" customHeight="1" x14ac:dyDescent="0.3">
      <c r="A11" s="8" t="s">
        <v>24</v>
      </c>
      <c r="B11" s="10">
        <v>1477</v>
      </c>
      <c r="C11" s="4">
        <v>1414</v>
      </c>
      <c r="D11" s="4">
        <v>1331</v>
      </c>
      <c r="E11" s="4">
        <v>1668</v>
      </c>
      <c r="F11" s="21"/>
      <c r="G11" s="32">
        <f>E11/21</f>
        <v>79.428571428571431</v>
      </c>
      <c r="H11" s="36">
        <v>1459</v>
      </c>
      <c r="I11" s="43">
        <f>H11/20</f>
        <v>72.95</v>
      </c>
      <c r="J11" s="43"/>
      <c r="K11" s="40"/>
    </row>
    <row r="12" spans="1:22" s="3" customFormat="1" ht="18" customHeight="1" x14ac:dyDescent="0.3">
      <c r="A12" s="8" t="s">
        <v>25</v>
      </c>
      <c r="B12" s="10">
        <v>1746</v>
      </c>
      <c r="C12" s="4">
        <v>2874</v>
      </c>
      <c r="D12" s="4">
        <v>1685</v>
      </c>
      <c r="E12" s="4">
        <v>1401</v>
      </c>
      <c r="F12" s="21"/>
      <c r="G12" s="32">
        <f>E12/21</f>
        <v>66.714285714285708</v>
      </c>
      <c r="H12" s="36">
        <v>1643</v>
      </c>
      <c r="I12" s="43">
        <f>H12/21</f>
        <v>78.238095238095241</v>
      </c>
      <c r="J12" s="43"/>
      <c r="K12" s="40"/>
    </row>
    <row r="13" spans="1:22" s="3" customFormat="1" ht="18" customHeight="1" x14ac:dyDescent="0.3">
      <c r="A13" s="8" t="s">
        <v>26</v>
      </c>
      <c r="B13" s="10">
        <v>1457</v>
      </c>
      <c r="C13" s="14">
        <v>1428</v>
      </c>
      <c r="D13" s="4">
        <v>1092</v>
      </c>
      <c r="E13" s="4">
        <v>1426</v>
      </c>
      <c r="F13" s="21"/>
      <c r="G13" s="32">
        <f>E13/21</f>
        <v>67.904761904761898</v>
      </c>
      <c r="H13" s="36">
        <v>1111</v>
      </c>
      <c r="I13" s="43">
        <f>H13/21</f>
        <v>52.904761904761905</v>
      </c>
      <c r="J13" s="43"/>
      <c r="K13" s="40"/>
      <c r="L13" s="13"/>
      <c r="M13" s="13">
        <f>721/5</f>
        <v>144.19999999999999</v>
      </c>
    </row>
    <row r="14" spans="1:22" s="3" customFormat="1" ht="18" customHeight="1" x14ac:dyDescent="0.3">
      <c r="A14" s="8" t="s">
        <v>27</v>
      </c>
      <c r="B14" s="10">
        <v>1115</v>
      </c>
      <c r="C14" s="4">
        <v>1326</v>
      </c>
      <c r="D14" s="4">
        <v>1140</v>
      </c>
      <c r="E14" s="4">
        <v>1133</v>
      </c>
      <c r="F14" s="21"/>
      <c r="G14" s="32">
        <f>E14/18</f>
        <v>62.944444444444443</v>
      </c>
      <c r="H14" s="36">
        <v>1038</v>
      </c>
      <c r="I14" s="43">
        <f>H14/19</f>
        <v>54.631578947368418</v>
      </c>
      <c r="J14" s="43"/>
      <c r="K14" s="40"/>
      <c r="M14" s="3">
        <f>J6/22</f>
        <v>134.90909090909091</v>
      </c>
    </row>
    <row r="15" spans="1:22" s="3" customFormat="1" ht="18" customHeight="1" x14ac:dyDescent="0.3">
      <c r="A15" s="8" t="s">
        <v>28</v>
      </c>
      <c r="B15" s="10">
        <v>737</v>
      </c>
      <c r="C15" s="4">
        <v>1250</v>
      </c>
      <c r="D15" s="4">
        <v>1133</v>
      </c>
      <c r="E15" s="4">
        <v>950</v>
      </c>
      <c r="F15" s="21"/>
      <c r="G15" s="32">
        <f>E15/20</f>
        <v>47.5</v>
      </c>
      <c r="H15" s="37">
        <v>270</v>
      </c>
      <c r="I15" s="44"/>
      <c r="J15" s="44"/>
      <c r="K15" s="35"/>
    </row>
    <row r="16" spans="1:22" s="3" customFormat="1" ht="21.75" customHeight="1" x14ac:dyDescent="0.3">
      <c r="A16" s="8" t="s">
        <v>29</v>
      </c>
      <c r="B16" s="10" t="s">
        <v>13</v>
      </c>
      <c r="C16" s="4">
        <v>428</v>
      </c>
      <c r="D16" s="4">
        <v>471</v>
      </c>
      <c r="E16" s="4">
        <v>570</v>
      </c>
      <c r="F16" s="21"/>
      <c r="G16" s="32">
        <f>E16/10</f>
        <v>57</v>
      </c>
      <c r="H16" s="38"/>
      <c r="I16" s="38"/>
      <c r="J16" s="50"/>
      <c r="K16" s="51"/>
    </row>
    <row r="17" spans="1:11" x14ac:dyDescent="0.3">
      <c r="A17" s="11" t="s">
        <v>30</v>
      </c>
      <c r="B17" s="19">
        <f>SUM(B5:B16)</f>
        <v>16577</v>
      </c>
      <c r="C17" s="19">
        <f>SUM(C5:C16)</f>
        <v>20077</v>
      </c>
      <c r="D17" s="19">
        <f>SUM(D5:D16)</f>
        <v>16427</v>
      </c>
      <c r="E17" s="19">
        <f>SUM(E5:E16)</f>
        <v>19182</v>
      </c>
      <c r="F17" s="19">
        <f>SUM(F5:F16)</f>
        <v>5936</v>
      </c>
      <c r="G17" s="33"/>
      <c r="H17" s="41">
        <f>H5+H6+H7+H8+H9+H10+H11+H12+H13+H14+H15+H16</f>
        <v>16531</v>
      </c>
      <c r="I17" s="49"/>
      <c r="J17" s="52">
        <f>SUM(J5:J16)</f>
        <v>10143</v>
      </c>
      <c r="K17" s="31"/>
    </row>
    <row r="18" spans="1:11" x14ac:dyDescent="0.3">
      <c r="A18" s="7"/>
      <c r="B18" s="15"/>
      <c r="C18" s="15"/>
      <c r="D18" s="15"/>
      <c r="E18" s="15"/>
      <c r="F18" s="15"/>
      <c r="G18" s="3"/>
      <c r="H18" s="3"/>
      <c r="I18" s="3"/>
      <c r="J18" s="3"/>
      <c r="K18" s="3"/>
    </row>
    <row r="19" spans="1:11" ht="34.5" customHeight="1" x14ac:dyDescent="0.3">
      <c r="A19" s="53" t="s">
        <v>31</v>
      </c>
      <c r="B19" s="54"/>
      <c r="C19" s="54"/>
      <c r="D19" s="54"/>
      <c r="E19" s="54"/>
      <c r="F19" s="54"/>
      <c r="G19" s="54"/>
      <c r="H19" s="12"/>
      <c r="I19" s="12"/>
      <c r="J19" s="46"/>
      <c r="K19" s="46"/>
    </row>
    <row r="20" spans="1:11" x14ac:dyDescent="0.3">
      <c r="B20" s="16"/>
      <c r="I20">
        <f>H5+H6+H7+H8+H9</f>
        <v>9094</v>
      </c>
    </row>
    <row r="21" spans="1:11" x14ac:dyDescent="0.3">
      <c r="A21" s="12"/>
      <c r="B21" s="17"/>
    </row>
    <row r="22" spans="1:11" x14ac:dyDescent="0.3">
      <c r="A22" s="12"/>
      <c r="B22" s="17"/>
    </row>
    <row r="23" spans="1:11" x14ac:dyDescent="0.3">
      <c r="B23" s="16"/>
    </row>
    <row r="24" spans="1:11" x14ac:dyDescent="0.3">
      <c r="B24" s="16"/>
    </row>
    <row r="25" spans="1:11" x14ac:dyDescent="0.3">
      <c r="B25" s="16"/>
    </row>
    <row r="26" spans="1:11" x14ac:dyDescent="0.3">
      <c r="B26" s="16"/>
    </row>
    <row r="27" spans="1:11" x14ac:dyDescent="0.3">
      <c r="B27" s="16"/>
    </row>
    <row r="28" spans="1:11" x14ac:dyDescent="0.3">
      <c r="B28" s="16"/>
    </row>
    <row r="67" spans="2:5" x14ac:dyDescent="0.3">
      <c r="C67" t="s">
        <v>32</v>
      </c>
    </row>
    <row r="68" spans="2:5" x14ac:dyDescent="0.3">
      <c r="D68" t="s">
        <v>33</v>
      </c>
    </row>
    <row r="69" spans="2:5" x14ac:dyDescent="0.3">
      <c r="C69" s="22">
        <v>45170</v>
      </c>
      <c r="D69">
        <v>2729</v>
      </c>
      <c r="E69" s="22">
        <v>45536</v>
      </c>
    </row>
    <row r="70" spans="2:5" x14ac:dyDescent="0.3">
      <c r="C70" s="22">
        <v>45200</v>
      </c>
      <c r="D70">
        <v>2539</v>
      </c>
      <c r="E70" s="22">
        <v>45566</v>
      </c>
    </row>
    <row r="76" spans="2:5" x14ac:dyDescent="0.3">
      <c r="C76" s="23">
        <v>2023</v>
      </c>
      <c r="D76" s="23">
        <v>2024</v>
      </c>
    </row>
    <row r="77" spans="2:5" x14ac:dyDescent="0.3">
      <c r="B77" s="25" t="s">
        <v>14</v>
      </c>
      <c r="C77" s="24">
        <v>3251</v>
      </c>
      <c r="D77" s="24">
        <v>2729</v>
      </c>
    </row>
    <row r="78" spans="2:5" x14ac:dyDescent="0.3">
      <c r="B78" s="25" t="s">
        <v>15</v>
      </c>
      <c r="C78" s="24">
        <v>2524</v>
      </c>
      <c r="D78" s="24">
        <v>2539</v>
      </c>
    </row>
    <row r="81" spans="2:4" x14ac:dyDescent="0.3">
      <c r="C81" s="26" t="s">
        <v>34</v>
      </c>
      <c r="D81" s="27" t="s">
        <v>35</v>
      </c>
    </row>
    <row r="82" spans="2:4" ht="29.25" customHeight="1" x14ac:dyDescent="0.3">
      <c r="B82" s="28" t="s">
        <v>36</v>
      </c>
      <c r="C82" s="30">
        <v>4410</v>
      </c>
      <c r="D82" s="27">
        <v>4648</v>
      </c>
    </row>
    <row r="83" spans="2:4" ht="36" customHeight="1" x14ac:dyDescent="0.3">
      <c r="B83" s="29" t="s">
        <v>37</v>
      </c>
      <c r="C83" s="30">
        <v>2364</v>
      </c>
      <c r="D83" s="27">
        <v>2533</v>
      </c>
    </row>
  </sheetData>
  <mergeCells count="1">
    <mergeCell ref="A19:G19"/>
  </mergeCells>
  <phoneticPr fontId="3" type="noConversion"/>
  <pageMargins left="0.7" right="0.7" top="0.75" bottom="0.75" header="0.3" footer="0.3"/>
  <pageSetup paperSize="9" scale="92" orientation="portrait" r:id="rId1"/>
  <rowBreaks count="1" manualBreakCount="1">
    <brk id="3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A7FE4-5FBD-42EE-BBF5-945A22450D26}"/>
</file>

<file path=customXml/itemProps2.xml><?xml version="1.0" encoding="utf-8"?>
<ds:datastoreItem xmlns:ds="http://schemas.openxmlformats.org/officeDocument/2006/customXml" ds:itemID="{1483D174-EECE-4DA8-9E68-44622330A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448DC-7F4F-4FBB-9D12-A21C4B9005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s.foulon</dc:creator>
  <cp:keywords/>
  <dc:description/>
  <cp:lastModifiedBy>Isabelle Riss</cp:lastModifiedBy>
  <cp:revision/>
  <dcterms:created xsi:type="dcterms:W3CDTF">2021-06-21T06:09:24Z</dcterms:created>
  <dcterms:modified xsi:type="dcterms:W3CDTF">2026-03-24T15:41:26Z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</Properties>
</file>