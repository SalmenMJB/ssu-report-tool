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filterPrivacy="1" defaultThemeVersion="124226"/>
  <xr:revisionPtr revIDLastSave="0" documentId="8_{A3B9CC62-B29D-4350-94E2-E67D9998DBA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Feuil1" sheetId="1" r:id="rId1"/>
    <sheet name="Feuil2" sheetId="2" r:id="rId2"/>
  </sheets>
  <definedNames>
    <definedName name="_xlnm._FilterDatabase" localSheetId="0" hidden="1">Feuil1!$A$1:$BY$92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" i="1" l="1"/>
  <c r="G92" i="1"/>
  <c r="H92" i="1"/>
  <c r="I92" i="1"/>
  <c r="J92" i="1"/>
  <c r="K92" i="1"/>
  <c r="L92" i="1"/>
  <c r="M92" i="1"/>
  <c r="N92" i="1"/>
  <c r="P92" i="1"/>
  <c r="Q92" i="1"/>
  <c r="R92" i="1"/>
  <c r="S92" i="1"/>
  <c r="T92" i="1"/>
  <c r="U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E168" i="1"/>
  <c r="G168" i="1"/>
  <c r="H168" i="1"/>
  <c r="I168" i="1"/>
  <c r="J168" i="1"/>
  <c r="K168" i="1"/>
  <c r="L168" i="1"/>
  <c r="M168" i="1"/>
  <c r="N168" i="1"/>
  <c r="P168" i="1"/>
  <c r="Q168" i="1"/>
  <c r="R168" i="1"/>
  <c r="S168" i="1"/>
  <c r="T168" i="1"/>
  <c r="U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E297" i="1"/>
  <c r="G297" i="1"/>
  <c r="H297" i="1"/>
  <c r="I297" i="1"/>
  <c r="J297" i="1"/>
  <c r="K297" i="1"/>
  <c r="L297" i="1"/>
  <c r="M297" i="1"/>
  <c r="N297" i="1"/>
  <c r="P297" i="1"/>
  <c r="Q297" i="1"/>
  <c r="R297" i="1"/>
  <c r="S297" i="1"/>
  <c r="T297" i="1"/>
  <c r="U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E370" i="1"/>
  <c r="G370" i="1"/>
  <c r="H370" i="1"/>
  <c r="I370" i="1"/>
  <c r="J370" i="1"/>
  <c r="K370" i="1"/>
  <c r="L370" i="1"/>
  <c r="M370" i="1"/>
  <c r="N370" i="1"/>
  <c r="P370" i="1"/>
  <c r="Q370" i="1"/>
  <c r="R370" i="1"/>
  <c r="S370" i="1"/>
  <c r="T370" i="1"/>
  <c r="U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U370" i="1"/>
  <c r="BV370" i="1"/>
  <c r="BW370" i="1"/>
  <c r="E466" i="1"/>
  <c r="G466" i="1"/>
  <c r="H466" i="1"/>
  <c r="I466" i="1"/>
  <c r="J466" i="1"/>
  <c r="K466" i="1"/>
  <c r="L466" i="1"/>
  <c r="M466" i="1"/>
  <c r="N466" i="1"/>
  <c r="P466" i="1"/>
  <c r="Q466" i="1"/>
  <c r="R466" i="1"/>
  <c r="S466" i="1"/>
  <c r="T466" i="1"/>
  <c r="U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BK466" i="1"/>
  <c r="BL466" i="1"/>
  <c r="BM466" i="1"/>
  <c r="BN466" i="1"/>
  <c r="BO466" i="1"/>
  <c r="BP466" i="1"/>
  <c r="BQ466" i="1"/>
  <c r="BR466" i="1"/>
  <c r="BS466" i="1"/>
  <c r="BT466" i="1"/>
  <c r="BU466" i="1"/>
  <c r="BV466" i="1"/>
  <c r="BW466" i="1"/>
  <c r="E548" i="1"/>
  <c r="G548" i="1"/>
  <c r="H548" i="1"/>
  <c r="I548" i="1"/>
  <c r="J548" i="1"/>
  <c r="K548" i="1"/>
  <c r="L548" i="1"/>
  <c r="M548" i="1"/>
  <c r="N548" i="1"/>
  <c r="P548" i="1"/>
  <c r="Q548" i="1"/>
  <c r="R548" i="1"/>
  <c r="S548" i="1"/>
  <c r="T548" i="1"/>
  <c r="U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AU548" i="1"/>
  <c r="AV548" i="1"/>
  <c r="AW548" i="1"/>
  <c r="AX548" i="1"/>
  <c r="AY548" i="1"/>
  <c r="AZ548" i="1"/>
  <c r="BA548" i="1"/>
  <c r="BB548" i="1"/>
  <c r="BC548" i="1"/>
  <c r="BD548" i="1"/>
  <c r="BE548" i="1"/>
  <c r="BF548" i="1"/>
  <c r="BG548" i="1"/>
  <c r="BH548" i="1"/>
  <c r="BI548" i="1"/>
  <c r="BJ548" i="1"/>
  <c r="BK548" i="1"/>
  <c r="BL548" i="1"/>
  <c r="BM548" i="1"/>
  <c r="BN548" i="1"/>
  <c r="BO548" i="1"/>
  <c r="BP548" i="1"/>
  <c r="BQ548" i="1"/>
  <c r="BR548" i="1"/>
  <c r="BS548" i="1"/>
  <c r="BT548" i="1"/>
  <c r="BU548" i="1"/>
  <c r="BV548" i="1"/>
  <c r="BW548" i="1"/>
  <c r="E645" i="1"/>
  <c r="G645" i="1"/>
  <c r="H645" i="1"/>
  <c r="I645" i="1"/>
  <c r="J645" i="1"/>
  <c r="K645" i="1"/>
  <c r="L645" i="1"/>
  <c r="M645" i="1"/>
  <c r="N645" i="1"/>
  <c r="P645" i="1"/>
  <c r="Q645" i="1"/>
  <c r="R645" i="1"/>
  <c r="S645" i="1"/>
  <c r="T645" i="1"/>
  <c r="U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AS645" i="1"/>
  <c r="AT645" i="1"/>
  <c r="AU645" i="1"/>
  <c r="AV645" i="1"/>
  <c r="AW645" i="1"/>
  <c r="AX645" i="1"/>
  <c r="AY645" i="1"/>
  <c r="AZ645" i="1"/>
  <c r="BA645" i="1"/>
  <c r="BB645" i="1"/>
  <c r="BC645" i="1"/>
  <c r="BD645" i="1"/>
  <c r="BE645" i="1"/>
  <c r="BF645" i="1"/>
  <c r="BG645" i="1"/>
  <c r="BH645" i="1"/>
  <c r="BI645" i="1"/>
  <c r="BJ645" i="1"/>
  <c r="BK645" i="1"/>
  <c r="BL645" i="1"/>
  <c r="BM645" i="1"/>
  <c r="BN645" i="1"/>
  <c r="BO645" i="1"/>
  <c r="BP645" i="1"/>
  <c r="BQ645" i="1"/>
  <c r="BR645" i="1"/>
  <c r="BS645" i="1"/>
  <c r="BT645" i="1"/>
  <c r="BU645" i="1"/>
  <c r="BV645" i="1"/>
  <c r="BW645" i="1"/>
  <c r="E712" i="1"/>
  <c r="G712" i="1"/>
  <c r="H712" i="1"/>
  <c r="I712" i="1"/>
  <c r="J712" i="1"/>
  <c r="K712" i="1"/>
  <c r="L712" i="1"/>
  <c r="M712" i="1"/>
  <c r="N712" i="1"/>
  <c r="P712" i="1"/>
  <c r="Q712" i="1"/>
  <c r="R712" i="1"/>
  <c r="S712" i="1"/>
  <c r="T712" i="1"/>
  <c r="U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P712" i="1"/>
  <c r="AQ712" i="1"/>
  <c r="AR712" i="1"/>
  <c r="AS712" i="1"/>
  <c r="AT712" i="1"/>
  <c r="AU712" i="1"/>
  <c r="AV712" i="1"/>
  <c r="AW712" i="1"/>
  <c r="AX712" i="1"/>
  <c r="AY712" i="1"/>
  <c r="AZ712" i="1"/>
  <c r="BA712" i="1"/>
  <c r="BB712" i="1"/>
  <c r="BC712" i="1"/>
  <c r="BD712" i="1"/>
  <c r="BE712" i="1"/>
  <c r="BF712" i="1"/>
  <c r="BG712" i="1"/>
  <c r="BH712" i="1"/>
  <c r="BI712" i="1"/>
  <c r="BJ712" i="1"/>
  <c r="BK712" i="1"/>
  <c r="BL712" i="1"/>
  <c r="BM712" i="1"/>
  <c r="BN712" i="1"/>
  <c r="BO712" i="1"/>
  <c r="BP712" i="1"/>
  <c r="BQ712" i="1"/>
  <c r="BR712" i="1"/>
  <c r="BS712" i="1"/>
  <c r="BT712" i="1"/>
  <c r="BU712" i="1"/>
  <c r="BV712" i="1"/>
  <c r="BW712" i="1"/>
  <c r="E772" i="1"/>
  <c r="G772" i="1"/>
  <c r="H772" i="1"/>
  <c r="I772" i="1"/>
  <c r="J772" i="1"/>
  <c r="K772" i="1"/>
  <c r="L772" i="1"/>
  <c r="M772" i="1"/>
  <c r="N772" i="1"/>
  <c r="P772" i="1"/>
  <c r="Q772" i="1"/>
  <c r="R772" i="1"/>
  <c r="S772" i="1"/>
  <c r="T772" i="1"/>
  <c r="U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K772" i="1"/>
  <c r="AL772" i="1"/>
  <c r="AM772" i="1"/>
  <c r="AN772" i="1"/>
  <c r="AO772" i="1"/>
  <c r="AP772" i="1"/>
  <c r="AQ772" i="1"/>
  <c r="AR772" i="1"/>
  <c r="AS772" i="1"/>
  <c r="AT772" i="1"/>
  <c r="AU772" i="1"/>
  <c r="AV772" i="1"/>
  <c r="AW772" i="1"/>
  <c r="AX772" i="1"/>
  <c r="AY772" i="1"/>
  <c r="AZ772" i="1"/>
  <c r="BA772" i="1"/>
  <c r="BB772" i="1"/>
  <c r="BC772" i="1"/>
  <c r="BD772" i="1"/>
  <c r="BE772" i="1"/>
  <c r="BF772" i="1"/>
  <c r="BG772" i="1"/>
  <c r="BH772" i="1"/>
  <c r="BI772" i="1"/>
  <c r="BJ772" i="1"/>
  <c r="BK772" i="1"/>
  <c r="BL772" i="1"/>
  <c r="BM772" i="1"/>
  <c r="BN772" i="1"/>
  <c r="BO772" i="1"/>
  <c r="BP772" i="1"/>
  <c r="BQ772" i="1"/>
  <c r="BR772" i="1"/>
  <c r="BS772" i="1"/>
  <c r="BT772" i="1"/>
  <c r="BU772" i="1"/>
  <c r="BV772" i="1"/>
  <c r="BW772" i="1"/>
  <c r="E846" i="1"/>
  <c r="G846" i="1"/>
  <c r="H846" i="1"/>
  <c r="I846" i="1"/>
  <c r="J846" i="1"/>
  <c r="K846" i="1"/>
  <c r="L846" i="1"/>
  <c r="M846" i="1"/>
  <c r="N846" i="1"/>
  <c r="P846" i="1"/>
  <c r="Q846" i="1"/>
  <c r="R846" i="1"/>
  <c r="S846" i="1"/>
  <c r="T846" i="1"/>
  <c r="U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K846" i="1"/>
  <c r="AL846" i="1"/>
  <c r="AM846" i="1"/>
  <c r="AN846" i="1"/>
  <c r="AO846" i="1"/>
  <c r="AP846" i="1"/>
  <c r="AQ846" i="1"/>
  <c r="AR846" i="1"/>
  <c r="AS846" i="1"/>
  <c r="AT846" i="1"/>
  <c r="AU846" i="1"/>
  <c r="AV846" i="1"/>
  <c r="AW846" i="1"/>
  <c r="AX846" i="1"/>
  <c r="AY846" i="1"/>
  <c r="AZ846" i="1"/>
  <c r="BA846" i="1"/>
  <c r="BB846" i="1"/>
  <c r="BC846" i="1"/>
  <c r="BD846" i="1"/>
  <c r="BE846" i="1"/>
  <c r="BF846" i="1"/>
  <c r="BG846" i="1"/>
  <c r="BH846" i="1"/>
  <c r="BI846" i="1"/>
  <c r="BJ846" i="1"/>
  <c r="BK846" i="1"/>
  <c r="BL846" i="1"/>
  <c r="BM846" i="1"/>
  <c r="BN846" i="1"/>
  <c r="BO846" i="1"/>
  <c r="BP846" i="1"/>
  <c r="BQ846" i="1"/>
  <c r="BR846" i="1"/>
  <c r="BS846" i="1"/>
  <c r="BT846" i="1"/>
  <c r="BU846" i="1"/>
  <c r="BV846" i="1"/>
  <c r="BW846" i="1"/>
  <c r="BK850" i="1" l="1"/>
  <c r="BM850" i="1"/>
  <c r="BM851" i="1"/>
  <c r="AJ851" i="1"/>
  <c r="AF851" i="1"/>
  <c r="AD851" i="1"/>
  <c r="AV851" i="1"/>
  <c r="AJ850" i="1"/>
  <c r="Q851" i="1"/>
  <c r="BL850" i="1"/>
  <c r="AN850" i="1"/>
  <c r="BO851" i="1"/>
  <c r="BA851" i="1"/>
  <c r="AK851" i="1"/>
  <c r="BC850" i="1"/>
  <c r="BN851" i="1"/>
  <c r="AZ851" i="1"/>
  <c r="AU850" i="1"/>
  <c r="AP851" i="1"/>
  <c r="S851" i="1"/>
  <c r="BI851" i="1"/>
  <c r="AS851" i="1"/>
  <c r="AC851" i="1"/>
  <c r="K851" i="1"/>
  <c r="BU851" i="1"/>
  <c r="AW851" i="1"/>
  <c r="AO851" i="1"/>
  <c r="Y851" i="1"/>
  <c r="P851" i="1"/>
  <c r="BU850" i="1"/>
  <c r="AW850" i="1"/>
  <c r="AO850" i="1"/>
  <c r="AQ851" i="1"/>
  <c r="BB851" i="1"/>
  <c r="BP851" i="1"/>
  <c r="BH851" i="1"/>
  <c r="AR851" i="1"/>
  <c r="AB851" i="1"/>
  <c r="J851" i="1"/>
  <c r="BT851" i="1"/>
  <c r="BD851" i="1"/>
  <c r="AN851" i="1"/>
  <c r="X851" i="1"/>
  <c r="N851" i="1"/>
  <c r="E851" i="1"/>
  <c r="AZ850" i="1"/>
  <c r="BH850" i="1"/>
  <c r="BT850" i="1"/>
  <c r="AV850" i="1"/>
  <c r="W851" i="1"/>
  <c r="BS850" i="1"/>
  <c r="W850" i="1"/>
  <c r="AI850" i="1"/>
  <c r="BV850" i="1"/>
  <c r="AL850" i="1"/>
  <c r="BE850" i="1"/>
  <c r="AS850" i="1"/>
  <c r="AK850" i="1"/>
  <c r="AC850" i="1"/>
  <c r="BG850" i="1"/>
  <c r="AB850" i="1"/>
  <c r="Y850" i="1"/>
  <c r="E850" i="1"/>
  <c r="BA850" i="1"/>
  <c r="BW850" i="1"/>
  <c r="AG850" i="1"/>
  <c r="BI850" i="1"/>
  <c r="Z850" i="1"/>
  <c r="BJ850" i="1"/>
  <c r="AX850" i="1"/>
  <c r="K850" i="1"/>
  <c r="L850" i="1"/>
  <c r="AM850" i="1"/>
  <c r="M850" i="1"/>
  <c r="P850" i="1"/>
  <c r="X850" i="1"/>
  <c r="AY850" i="1"/>
  <c r="J850" i="1"/>
  <c r="I850" i="1"/>
  <c r="N850" i="1"/>
  <c r="G850" i="1"/>
  <c r="AA850" i="1"/>
  <c r="BC851" i="1"/>
  <c r="AE851" i="1"/>
  <c r="R851" i="1"/>
  <c r="AM851" i="1"/>
  <c r="BQ851" i="1"/>
  <c r="BE851" i="1"/>
  <c r="AG851" i="1"/>
  <c r="T851" i="1"/>
  <c r="G851" i="1"/>
  <c r="BK851" i="1"/>
  <c r="BW851" i="1"/>
  <c r="M851" i="1"/>
  <c r="AA851" i="1"/>
  <c r="AY851" i="1"/>
  <c r="BS851" i="1"/>
  <c r="I851" i="1"/>
  <c r="BG851" i="1"/>
  <c r="AI851" i="1"/>
  <c r="BR851" i="1"/>
  <c r="BF851" i="1"/>
  <c r="AT851" i="1"/>
  <c r="AH851" i="1"/>
  <c r="U851" i="1"/>
  <c r="H851" i="1"/>
  <c r="BV851" i="1"/>
  <c r="BJ851" i="1"/>
  <c r="AX851" i="1"/>
  <c r="AL851" i="1"/>
  <c r="Z851" i="1"/>
  <c r="L851" i="1"/>
  <c r="AU851" i="1"/>
  <c r="BL851" i="1"/>
  <c r="R850" i="1"/>
  <c r="BO850" i="1"/>
  <c r="AE850" i="1"/>
  <c r="BN850" i="1"/>
  <c r="BB850" i="1"/>
  <c r="AP850" i="1"/>
  <c r="AD850" i="1"/>
  <c r="AQ850" i="1"/>
  <c r="BQ850" i="1"/>
  <c r="T850" i="1"/>
  <c r="BP850" i="1"/>
  <c r="BD850" i="1"/>
  <c r="AR850" i="1"/>
  <c r="AF850" i="1"/>
  <c r="S850" i="1"/>
  <c r="BR850" i="1"/>
  <c r="BF850" i="1"/>
  <c r="AT850" i="1"/>
  <c r="AH850" i="1"/>
  <c r="U850" i="1"/>
  <c r="H850" i="1"/>
  <c r="Q850" i="1"/>
  <c r="AN852" i="1" l="1"/>
  <c r="BL852" i="1"/>
  <c r="AJ852" i="1"/>
  <c r="BH852" i="1"/>
  <c r="BK852" i="1"/>
  <c r="AR852" i="1"/>
  <c r="AS852" i="1"/>
  <c r="AV852" i="1"/>
  <c r="BU852" i="1"/>
  <c r="AZ852" i="1"/>
  <c r="BB852" i="1"/>
  <c r="BM852" i="1"/>
  <c r="BT852" i="1"/>
  <c r="BC852" i="1"/>
  <c r="BE852" i="1"/>
  <c r="AD852" i="1"/>
  <c r="AF852" i="1"/>
  <c r="AB852" i="1"/>
  <c r="BN852" i="1"/>
  <c r="AC852" i="1"/>
  <c r="AO852" i="1"/>
  <c r="AK852" i="1"/>
  <c r="AW852" i="1"/>
  <c r="AI852" i="1"/>
  <c r="P852" i="1"/>
  <c r="AU852" i="1"/>
  <c r="G852" i="1"/>
  <c r="BW852" i="1"/>
  <c r="AQ852" i="1"/>
  <c r="N852" i="1"/>
  <c r="BA852" i="1"/>
  <c r="BI852" i="1"/>
  <c r="BO852" i="1"/>
  <c r="W852" i="1"/>
  <c r="S852" i="1"/>
  <c r="BQ852" i="1"/>
  <c r="E852" i="1"/>
  <c r="Q852" i="1"/>
  <c r="AP852" i="1"/>
  <c r="AL852" i="1"/>
  <c r="J852" i="1"/>
  <c r="Y852" i="1"/>
  <c r="K852" i="1"/>
  <c r="BD852" i="1"/>
  <c r="BP852" i="1"/>
  <c r="X852" i="1"/>
  <c r="BS852" i="1"/>
  <c r="AG852" i="1"/>
  <c r="T852" i="1"/>
  <c r="BR852" i="1"/>
  <c r="BV852" i="1"/>
  <c r="BG852" i="1"/>
  <c r="BF852" i="1"/>
  <c r="Z852" i="1"/>
  <c r="BJ852" i="1"/>
  <c r="AX852" i="1"/>
  <c r="L852" i="1"/>
  <c r="AM852" i="1"/>
  <c r="M852" i="1"/>
  <c r="AY852" i="1"/>
  <c r="I852" i="1"/>
  <c r="AA852" i="1"/>
  <c r="R852" i="1"/>
  <c r="AE852" i="1"/>
  <c r="AH852" i="1"/>
  <c r="AT852" i="1"/>
  <c r="H852" i="1"/>
  <c r="U852" i="1"/>
</calcChain>
</file>

<file path=xl/sharedStrings.xml><?xml version="1.0" encoding="utf-8"?>
<sst xmlns="http://schemas.openxmlformats.org/spreadsheetml/2006/main" count="861" uniqueCount="115">
  <si>
    <t>NEVEU</t>
  </si>
  <si>
    <t>Date</t>
  </si>
  <si>
    <t>Nom</t>
  </si>
  <si>
    <t>Prénom</t>
  </si>
  <si>
    <t>Pas venu</t>
  </si>
  <si>
    <t>Âge</t>
  </si>
  <si>
    <t>Consultation 1ère fois</t>
  </si>
  <si>
    <t>Consultation 1re fois dans l'année</t>
  </si>
  <si>
    <t>Déjà venu dans l'année</t>
  </si>
  <si>
    <t>RDV TEL</t>
  </si>
  <si>
    <t>UA</t>
  </si>
  <si>
    <t>Conventionné</t>
  </si>
  <si>
    <t>Non conventionné</t>
  </si>
  <si>
    <t>B-B</t>
  </si>
  <si>
    <t>Ecoles / filières</t>
  </si>
  <si>
    <t>L1</t>
  </si>
  <si>
    <t>L2</t>
  </si>
  <si>
    <t>L3</t>
  </si>
  <si>
    <t>M1</t>
  </si>
  <si>
    <t>M2 OU +</t>
  </si>
  <si>
    <t>Doctorant</t>
  </si>
  <si>
    <t>ERASMUS</t>
  </si>
  <si>
    <t>plus ou pas étudiant</t>
  </si>
  <si>
    <t>Info</t>
  </si>
  <si>
    <t>1erer demande de  contraception</t>
  </si>
  <si>
    <t>Changement contraception</t>
  </si>
  <si>
    <t xml:space="preserve">enouvellemnt de contraception </t>
  </si>
  <si>
    <t>CONTRÖLE DIU/SIU</t>
  </si>
  <si>
    <t>Dépistage IST</t>
  </si>
  <si>
    <t>IST</t>
  </si>
  <si>
    <t>probleme Gyn</t>
  </si>
  <si>
    <t>Prob sexuel</t>
  </si>
  <si>
    <t>Exam</t>
  </si>
  <si>
    <t>exam 1</t>
  </si>
  <si>
    <t>violences</t>
  </si>
  <si>
    <t>grossesse</t>
  </si>
  <si>
    <t>dysménorrhées</t>
  </si>
  <si>
    <t>autre</t>
  </si>
  <si>
    <t>Pose implant</t>
  </si>
  <si>
    <t>retrait implant</t>
  </si>
  <si>
    <t>pose DIU</t>
  </si>
  <si>
    <t>retrait DIU</t>
  </si>
  <si>
    <t>Pose SIU</t>
  </si>
  <si>
    <t>Rretrait SIU</t>
  </si>
  <si>
    <t>TG</t>
  </si>
  <si>
    <t>CHLAM/GONO</t>
  </si>
  <si>
    <t>FCV</t>
  </si>
  <si>
    <t>vaccins</t>
  </si>
  <si>
    <t>pilule remb</t>
  </si>
  <si>
    <t>pilule non remb</t>
  </si>
  <si>
    <t>CU</t>
  </si>
  <si>
    <t>PM</t>
  </si>
  <si>
    <t>Implant</t>
  </si>
  <si>
    <t>DIU</t>
  </si>
  <si>
    <t>SIU</t>
  </si>
  <si>
    <t>Patchs</t>
  </si>
  <si>
    <t>anneaux</t>
  </si>
  <si>
    <t>HPV</t>
  </si>
  <si>
    <t>AUTRE</t>
  </si>
  <si>
    <t>CEGIDD</t>
  </si>
  <si>
    <t>BETA HCG</t>
  </si>
  <si>
    <t>HCG+</t>
  </si>
  <si>
    <t>Frottis pathologique</t>
  </si>
  <si>
    <t>CHLAM+</t>
  </si>
  <si>
    <t>GONO +</t>
  </si>
  <si>
    <t>AUTRE DEP +</t>
  </si>
  <si>
    <t>atre res patho cf remarque</t>
  </si>
  <si>
    <t>adressé psy</t>
  </si>
  <si>
    <t>adessé AS</t>
  </si>
  <si>
    <t>adressé gyn</t>
  </si>
  <si>
    <t>adressée Flora Trstan</t>
  </si>
  <si>
    <t>adressée sexo</t>
  </si>
  <si>
    <t xml:space="preserve">adressée CSS autre </t>
  </si>
  <si>
    <t>autre adressage</t>
  </si>
  <si>
    <t>REMARQUES</t>
  </si>
  <si>
    <t>SEPTEMBRE</t>
  </si>
  <si>
    <t>TOTAUX</t>
  </si>
  <si>
    <t>MOIS</t>
  </si>
  <si>
    <t>rdv tel</t>
  </si>
  <si>
    <t>M2</t>
  </si>
  <si>
    <t>INFO</t>
  </si>
  <si>
    <t>CONTRÔLE DIU</t>
  </si>
  <si>
    <t xml:space="preserve">adressée CPEF autre </t>
  </si>
  <si>
    <t>octobre</t>
  </si>
  <si>
    <t>TEL</t>
  </si>
  <si>
    <t>Plus ou pas étudiant</t>
  </si>
  <si>
    <t>NOVEMBRE</t>
  </si>
  <si>
    <t>PAS ETUDIANT</t>
  </si>
  <si>
    <t>DECEMBRE</t>
  </si>
  <si>
    <t>Parents pas au courant</t>
  </si>
  <si>
    <t>Contraception d'urgence</t>
  </si>
  <si>
    <t>JANVIER</t>
  </si>
  <si>
    <t>PAS OU PLUS ETUDIANT</t>
  </si>
  <si>
    <t>contrôle  diu</t>
  </si>
  <si>
    <t>FEVRIER</t>
  </si>
  <si>
    <t>info</t>
  </si>
  <si>
    <t>contrôle DIU</t>
  </si>
  <si>
    <t>dysménorhées</t>
  </si>
  <si>
    <t>MARS</t>
  </si>
  <si>
    <t>FILLAUD</t>
  </si>
  <si>
    <t>LAURENE</t>
  </si>
  <si>
    <t>UCO</t>
  </si>
  <si>
    <t>CNTROLE DIU</t>
  </si>
  <si>
    <t>AVRIL</t>
  </si>
  <si>
    <t>Pas etudiant</t>
  </si>
  <si>
    <t>CONTRÔLE  DIU</t>
  </si>
  <si>
    <t>MAI</t>
  </si>
  <si>
    <t>RDV TE</t>
  </si>
  <si>
    <t>PLUS OU PAS ETUDIANT</t>
  </si>
  <si>
    <t>contrôle SIU/DIU</t>
  </si>
  <si>
    <t>JUIN</t>
  </si>
  <si>
    <t>Fin d'études</t>
  </si>
  <si>
    <t>Septembre à décembre 2024</t>
  </si>
  <si>
    <t>janvier à jullet 2025</t>
  </si>
  <si>
    <t>Année universitaire 2024-2025 (septembre 2024 à juilet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</si>
</sst>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3" fillId="2" borderId="1" xfId="0" applyFont="1" applyFill="1" applyBorder="1"/>
    <xf numFmtId="0" fontId="3" fillId="3" borderId="1" xfId="0" applyFont="1" applyFill="1" applyBorder="1"/>
    <xf numFmtId="0" fontId="3" fillId="2" borderId="5" xfId="0" applyFont="1" applyFill="1" applyBorder="1"/>
    <xf numFmtId="0" fontId="3" fillId="3" borderId="5" xfId="0" applyFont="1" applyFill="1" applyBorder="1"/>
    <xf numFmtId="0" fontId="4" fillId="4" borderId="1" xfId="0" applyFont="1" applyFill="1" applyBorder="1"/>
    <xf numFmtId="1" fontId="4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 textRotation="90"/>
    </xf>
    <xf numFmtId="0" fontId="1" fillId="5" borderId="1" xfId="0" applyFont="1" applyFill="1" applyBorder="1" applyAlignment="1">
      <alignment horizontal="center" vertical="center" textRotation="90"/>
    </xf>
    <xf numFmtId="16" fontId="3" fillId="5" borderId="1" xfId="0" applyNumberFormat="1" applyFont="1" applyFill="1" applyBorder="1"/>
    <xf numFmtId="0" fontId="3" fillId="5" borderId="1" xfId="0" applyFont="1" applyFill="1" applyBorder="1"/>
    <xf numFmtId="1" fontId="3" fillId="5" borderId="1" xfId="0" applyNumberFormat="1" applyFont="1" applyFill="1" applyBorder="1"/>
    <xf numFmtId="14" fontId="3" fillId="5" borderId="1" xfId="0" applyNumberFormat="1" applyFont="1" applyFill="1" applyBorder="1"/>
    <xf numFmtId="0" fontId="3" fillId="5" borderId="5" xfId="0" applyFont="1" applyFill="1" applyBorder="1"/>
    <xf numFmtId="1" fontId="3" fillId="5" borderId="5" xfId="0" applyNumberFormat="1" applyFont="1" applyFill="1" applyBorder="1"/>
    <xf numFmtId="0" fontId="0" fillId="5" borderId="0" xfId="0" applyFill="1"/>
    <xf numFmtId="16" fontId="3" fillId="5" borderId="5" xfId="0" applyNumberFormat="1" applyFont="1" applyFill="1" applyBorder="1"/>
    <xf numFmtId="0" fontId="0" fillId="3" borderId="0" xfId="0" applyFill="1"/>
    <xf numFmtId="0" fontId="3" fillId="6" borderId="1" xfId="0" applyFont="1" applyFill="1" applyBorder="1"/>
    <xf numFmtId="16" fontId="4" fillId="5" borderId="1" xfId="0" applyNumberFormat="1" applyFont="1" applyFill="1" applyBorder="1"/>
    <xf numFmtId="0" fontId="4" fillId="5" borderId="1" xfId="0" applyFont="1" applyFill="1" applyBorder="1"/>
    <xf numFmtId="14" fontId="4" fillId="5" borderId="1" xfId="0" quotePrefix="1" applyNumberFormat="1" applyFont="1" applyFill="1" applyBorder="1"/>
    <xf numFmtId="14" fontId="3" fillId="5" borderId="1" xfId="0" quotePrefix="1" applyNumberFormat="1" applyFont="1" applyFill="1" applyBorder="1"/>
    <xf numFmtId="16" fontId="3" fillId="5" borderId="1" xfId="0" quotePrefix="1" applyNumberFormat="1" applyFont="1" applyFill="1" applyBorder="1"/>
    <xf numFmtId="0" fontId="1" fillId="7" borderId="1" xfId="0" applyFont="1" applyFill="1" applyBorder="1" applyAlignment="1">
      <alignment horizontal="center" vertical="center" textRotation="90"/>
    </xf>
    <xf numFmtId="0" fontId="3" fillId="7" borderId="1" xfId="0" applyFont="1" applyFill="1" applyBorder="1"/>
    <xf numFmtId="0" fontId="0" fillId="7" borderId="0" xfId="0" applyFill="1"/>
    <xf numFmtId="0" fontId="3" fillId="7" borderId="5" xfId="0" applyFont="1" applyFill="1" applyBorder="1"/>
    <xf numFmtId="1" fontId="4" fillId="7" borderId="1" xfId="0" applyNumberFormat="1" applyFont="1" applyFill="1" applyBorder="1"/>
    <xf numFmtId="0" fontId="1" fillId="8" borderId="1" xfId="0" applyFont="1" applyFill="1" applyBorder="1" applyAlignment="1">
      <alignment horizontal="center" vertical="center" textRotation="90"/>
    </xf>
    <xf numFmtId="0" fontId="1" fillId="9" borderId="1" xfId="0" applyFont="1" applyFill="1" applyBorder="1" applyAlignment="1">
      <alignment horizontal="center" vertical="center" textRotation="90"/>
    </xf>
    <xf numFmtId="0" fontId="3" fillId="9" borderId="1" xfId="0" applyFont="1" applyFill="1" applyBorder="1"/>
    <xf numFmtId="0" fontId="0" fillId="9" borderId="0" xfId="0" applyFill="1"/>
    <xf numFmtId="0" fontId="3" fillId="9" borderId="5" xfId="0" applyFont="1" applyFill="1" applyBorder="1"/>
    <xf numFmtId="0" fontId="5" fillId="9" borderId="1" xfId="0" applyFont="1" applyFill="1" applyBorder="1"/>
    <xf numFmtId="0" fontId="1" fillId="10" borderId="1" xfId="0" applyFont="1" applyFill="1" applyBorder="1" applyAlignment="1">
      <alignment horizontal="center" vertical="center" textRotation="90"/>
    </xf>
    <xf numFmtId="0" fontId="3" fillId="10" borderId="1" xfId="0" applyFont="1" applyFill="1" applyBorder="1"/>
    <xf numFmtId="0" fontId="0" fillId="10" borderId="0" xfId="0" applyFill="1"/>
    <xf numFmtId="0" fontId="3" fillId="10" borderId="5" xfId="0" applyFont="1" applyFill="1" applyBorder="1"/>
    <xf numFmtId="0" fontId="1" fillId="11" borderId="1" xfId="0" applyFont="1" applyFill="1" applyBorder="1" applyAlignment="1">
      <alignment horizontal="center" vertical="center" textRotation="90"/>
    </xf>
    <xf numFmtId="0" fontId="3" fillId="11" borderId="1" xfId="0" applyFont="1" applyFill="1" applyBorder="1"/>
    <xf numFmtId="0" fontId="0" fillId="11" borderId="0" xfId="0" applyFill="1"/>
    <xf numFmtId="0" fontId="3" fillId="11" borderId="5" xfId="0" applyFont="1" applyFill="1" applyBorder="1"/>
    <xf numFmtId="0" fontId="3" fillId="8" borderId="1" xfId="0" applyFont="1" applyFill="1" applyBorder="1"/>
    <xf numFmtId="0" fontId="0" fillId="8" borderId="0" xfId="0" applyFill="1"/>
    <xf numFmtId="0" fontId="3" fillId="8" borderId="5" xfId="0" applyFont="1" applyFill="1" applyBorder="1"/>
    <xf numFmtId="1" fontId="4" fillId="10" borderId="1" xfId="0" applyNumberFormat="1" applyFont="1" applyFill="1" applyBorder="1"/>
    <xf numFmtId="1" fontId="4" fillId="5" borderId="1" xfId="0" applyNumberFormat="1" applyFont="1" applyFill="1" applyBorder="1"/>
    <xf numFmtId="1" fontId="4" fillId="8" borderId="1" xfId="0" applyNumberFormat="1" applyFont="1" applyFill="1" applyBorder="1"/>
    <xf numFmtId="1" fontId="4" fillId="9" borderId="1" xfId="0" applyNumberFormat="1" applyFont="1" applyFill="1" applyBorder="1"/>
    <xf numFmtId="0" fontId="4" fillId="9" borderId="1" xfId="0" applyFont="1" applyFill="1" applyBorder="1"/>
    <xf numFmtId="0" fontId="3" fillId="9" borderId="1" xfId="0" applyFont="1" applyFill="1" applyBorder="1" applyAlignment="1">
      <alignment horizontal="center" vertical="center" textRotation="90"/>
    </xf>
    <xf numFmtId="14" fontId="4" fillId="5" borderId="1" xfId="0" applyNumberFormat="1" applyFont="1" applyFill="1" applyBorder="1"/>
    <xf numFmtId="14" fontId="3" fillId="5" borderId="5" xfId="0" applyNumberFormat="1" applyFont="1" applyFill="1" applyBorder="1"/>
    <xf numFmtId="0" fontId="2" fillId="0" borderId="4" xfId="0" applyFont="1" applyBorder="1" applyAlignment="1">
      <alignment horizontal="center" vertical="center" textRotation="90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866"/>
  <sheetViews>
    <sheetView tabSelected="1" zoomScale="75" zoomScaleNormal="75" workbookViewId="0">
      <pane ySplit="1" topLeftCell="A832" activePane="bottomLeft" state="frozen"/>
      <selection pane="bottomLeft" activeCell="J26" sqref="J26"/>
    </sheetView>
  </sheetViews>
  <sheetFormatPr defaultColWidth="9.140625" defaultRowHeight="14.45"/>
  <cols>
    <col min="1" max="1" width="6.140625" customWidth="1"/>
    <col min="2" max="2" width="11.5703125" customWidth="1"/>
    <col min="3" max="3" width="14" customWidth="1"/>
    <col min="4" max="4" width="11.7109375" customWidth="1"/>
    <col min="5" max="5" width="4.28515625" customWidth="1"/>
    <col min="6" max="6" width="4.140625" customWidth="1"/>
    <col min="7" max="7" width="4.42578125" customWidth="1"/>
    <col min="8" max="8" width="4.28515625" customWidth="1"/>
    <col min="9" max="9" width="3.85546875" customWidth="1"/>
    <col min="10" max="10" width="3.7109375" customWidth="1"/>
    <col min="11" max="11" width="3.85546875" customWidth="1"/>
    <col min="12" max="13" width="4" customWidth="1"/>
    <col min="14" max="14" width="4.140625" customWidth="1"/>
    <col min="15" max="15" width="7.5703125" customWidth="1"/>
    <col min="16" max="16" width="4.85546875" customWidth="1"/>
    <col min="17" max="17" width="5.85546875" customWidth="1"/>
    <col min="18" max="24" width="3.7109375" customWidth="1"/>
    <col min="25" max="26" width="4.140625" customWidth="1"/>
    <col min="27" max="27" width="3.7109375" customWidth="1"/>
    <col min="28" max="30" width="4" customWidth="1"/>
    <col min="31" max="35" width="3.7109375" customWidth="1"/>
    <col min="36" max="38" width="4" customWidth="1"/>
    <col min="39" max="39" width="3.7109375" customWidth="1"/>
    <col min="40" max="41" width="4.140625" customWidth="1"/>
    <col min="42" max="43" width="3.85546875" customWidth="1"/>
    <col min="44" max="44" width="4" customWidth="1"/>
    <col min="45" max="45" width="4.42578125" customWidth="1"/>
    <col min="46" max="46" width="3.7109375" customWidth="1"/>
    <col min="47" max="48" width="4.140625" customWidth="1"/>
    <col min="49" max="49" width="4" customWidth="1"/>
    <col min="50" max="50" width="3.7109375" customWidth="1"/>
    <col min="51" max="51" width="3.85546875" customWidth="1"/>
    <col min="52" max="53" width="3.7109375" customWidth="1"/>
    <col min="54" max="55" width="4" customWidth="1"/>
    <col min="56" max="56" width="3.85546875" customWidth="1"/>
    <col min="57" max="57" width="4.140625" customWidth="1"/>
    <col min="58" max="60" width="3.85546875" customWidth="1"/>
    <col min="61" max="61" width="4.140625" customWidth="1"/>
    <col min="62" max="62" width="4" customWidth="1"/>
    <col min="63" max="63" width="3.7109375" customWidth="1"/>
    <col min="64" max="64" width="4" customWidth="1"/>
    <col min="65" max="65" width="4.28515625" customWidth="1"/>
    <col min="66" max="67" width="3.85546875" customWidth="1"/>
    <col min="68" max="68" width="4.28515625" customWidth="1"/>
    <col min="69" max="69" width="4.42578125" customWidth="1"/>
    <col min="70" max="70" width="4.140625" customWidth="1"/>
    <col min="71" max="71" width="4" customWidth="1"/>
    <col min="72" max="72" width="3.7109375" customWidth="1"/>
    <col min="73" max="73" width="4.42578125" customWidth="1"/>
    <col min="74" max="74" width="4.140625" customWidth="1"/>
    <col min="75" max="75" width="3.7109375" customWidth="1"/>
    <col min="76" max="76" width="12.5703125" customWidth="1"/>
    <col min="77" max="77" width="27" customWidth="1"/>
    <col min="78" max="80" width="9.140625" customWidth="1"/>
  </cols>
  <sheetData>
    <row r="1" spans="1:77" ht="162" customHeight="1">
      <c r="A1" s="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9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37</v>
      </c>
      <c r="AX1" s="42" t="s">
        <v>48</v>
      </c>
      <c r="AY1" s="42" t="s">
        <v>49</v>
      </c>
      <c r="AZ1" s="42" t="s">
        <v>50</v>
      </c>
      <c r="BA1" s="42" t="s">
        <v>51</v>
      </c>
      <c r="BB1" s="42" t="s">
        <v>52</v>
      </c>
      <c r="BC1" s="42" t="s">
        <v>53</v>
      </c>
      <c r="BD1" s="42" t="s">
        <v>54</v>
      </c>
      <c r="BE1" s="42" t="s">
        <v>55</v>
      </c>
      <c r="BF1" s="42" t="s">
        <v>56</v>
      </c>
      <c r="BG1" s="42" t="s">
        <v>57</v>
      </c>
      <c r="BH1" s="42" t="s">
        <v>58</v>
      </c>
      <c r="BI1" s="11" t="s">
        <v>28</v>
      </c>
      <c r="BJ1" s="11" t="s">
        <v>59</v>
      </c>
      <c r="BK1" s="11" t="s">
        <v>60</v>
      </c>
      <c r="BL1" s="32" t="s">
        <v>61</v>
      </c>
      <c r="BM1" s="32" t="s">
        <v>62</v>
      </c>
      <c r="BN1" s="32" t="s">
        <v>63</v>
      </c>
      <c r="BO1" s="32" t="s">
        <v>64</v>
      </c>
      <c r="BP1" s="32" t="s">
        <v>65</v>
      </c>
      <c r="BQ1" s="32" t="s">
        <v>66</v>
      </c>
      <c r="BR1" s="33" t="s">
        <v>67</v>
      </c>
      <c r="BS1" s="33" t="s">
        <v>68</v>
      </c>
      <c r="BT1" s="33" t="s">
        <v>69</v>
      </c>
      <c r="BU1" s="33" t="s">
        <v>70</v>
      </c>
      <c r="BV1" s="33" t="s">
        <v>71</v>
      </c>
      <c r="BW1" s="33" t="s">
        <v>72</v>
      </c>
      <c r="BX1" s="33" t="s">
        <v>73</v>
      </c>
      <c r="BY1" s="10" t="s">
        <v>74</v>
      </c>
    </row>
    <row r="2" spans="1:77" ht="14.25" customHeight="1">
      <c r="A2" s="57" t="s">
        <v>75</v>
      </c>
      <c r="B2" s="12"/>
      <c r="C2" s="13"/>
      <c r="D2" s="13"/>
      <c r="E2" s="14"/>
      <c r="F2" s="13"/>
      <c r="G2" s="13"/>
      <c r="H2" s="13"/>
      <c r="I2" s="13"/>
      <c r="J2" s="13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13"/>
      <c r="BJ2" s="13"/>
      <c r="BK2" s="13"/>
      <c r="BL2" s="46"/>
      <c r="BM2" s="46"/>
      <c r="BN2" s="46"/>
      <c r="BO2" s="46"/>
      <c r="BP2" s="46"/>
      <c r="BQ2" s="46"/>
      <c r="BR2" s="34"/>
      <c r="BS2" s="34"/>
      <c r="BT2" s="34"/>
      <c r="BU2" s="34"/>
      <c r="BV2" s="34"/>
      <c r="BW2" s="34"/>
      <c r="BX2" s="34"/>
      <c r="BY2" s="4"/>
    </row>
    <row r="3" spans="1:77" ht="12.75" customHeight="1">
      <c r="A3" s="57"/>
      <c r="B3" s="13"/>
      <c r="C3" s="13"/>
      <c r="D3" s="13"/>
      <c r="E3" s="14"/>
      <c r="F3" s="13"/>
      <c r="G3" s="13"/>
      <c r="H3" s="13"/>
      <c r="I3" s="13"/>
      <c r="J3" s="13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13"/>
      <c r="BJ3" s="13"/>
      <c r="BK3" s="13"/>
      <c r="BL3" s="46"/>
      <c r="BM3" s="46"/>
      <c r="BN3" s="46"/>
      <c r="BO3" s="46"/>
      <c r="BP3" s="46"/>
      <c r="BQ3" s="46"/>
      <c r="BR3" s="34"/>
      <c r="BS3" s="34"/>
      <c r="BT3" s="34"/>
      <c r="BU3" s="34"/>
      <c r="BV3" s="34"/>
      <c r="BW3" s="34"/>
      <c r="BX3" s="34"/>
      <c r="BY3" s="4"/>
    </row>
    <row r="4" spans="1:77" ht="14.25" customHeight="1">
      <c r="A4" s="57"/>
      <c r="B4" s="12"/>
      <c r="C4" s="13"/>
      <c r="D4" s="13"/>
      <c r="E4" s="14"/>
      <c r="F4" s="13"/>
      <c r="G4" s="13"/>
      <c r="H4" s="13"/>
      <c r="I4" s="13"/>
      <c r="J4" s="13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13"/>
      <c r="BJ4" s="13"/>
      <c r="BK4" s="13"/>
      <c r="BL4" s="46"/>
      <c r="BM4" s="46"/>
      <c r="BN4" s="46"/>
      <c r="BO4" s="46"/>
      <c r="BP4" s="46"/>
      <c r="BQ4" s="46"/>
      <c r="BR4" s="34"/>
      <c r="BS4" s="34"/>
      <c r="BT4" s="34"/>
      <c r="BU4" s="34"/>
      <c r="BV4" s="34"/>
      <c r="BW4" s="34"/>
      <c r="BX4" s="34"/>
      <c r="BY4" s="4"/>
    </row>
    <row r="5" spans="1:77">
      <c r="A5" s="57"/>
      <c r="B5" s="13"/>
      <c r="C5" s="13"/>
      <c r="D5" s="13"/>
      <c r="E5" s="14"/>
      <c r="F5" s="13"/>
      <c r="G5" s="13"/>
      <c r="H5" s="13"/>
      <c r="I5" s="13"/>
      <c r="J5" s="13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13"/>
      <c r="BJ5" s="13"/>
      <c r="BK5" s="13"/>
      <c r="BL5" s="46"/>
      <c r="BM5" s="46"/>
      <c r="BN5" s="46"/>
      <c r="BO5" s="46"/>
      <c r="BP5" s="46"/>
      <c r="BQ5" s="46"/>
      <c r="BR5" s="34"/>
      <c r="BS5" s="34"/>
      <c r="BT5" s="34"/>
      <c r="BU5" s="34"/>
      <c r="BV5" s="34"/>
      <c r="BW5" s="34"/>
      <c r="BX5" s="34"/>
      <c r="BY5" s="4"/>
    </row>
    <row r="6" spans="1:77">
      <c r="A6" s="57"/>
      <c r="B6" s="12"/>
      <c r="C6" s="13"/>
      <c r="D6" s="13"/>
      <c r="E6" s="14"/>
      <c r="F6" s="13"/>
      <c r="G6" s="13"/>
      <c r="H6" s="13"/>
      <c r="I6" s="13"/>
      <c r="J6" s="13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13"/>
      <c r="BJ6" s="13"/>
      <c r="BK6" s="13"/>
      <c r="BL6" s="46"/>
      <c r="BM6" s="46"/>
      <c r="BN6" s="46"/>
      <c r="BO6" s="46"/>
      <c r="BP6" s="46"/>
      <c r="BQ6" s="46"/>
      <c r="BR6" s="34"/>
      <c r="BS6" s="34"/>
      <c r="BT6" s="34"/>
      <c r="BU6" s="34"/>
      <c r="BV6" s="34"/>
      <c r="BW6" s="34"/>
      <c r="BX6" s="34"/>
      <c r="BY6" s="4"/>
    </row>
    <row r="7" spans="1:77">
      <c r="A7" s="57"/>
      <c r="B7" s="13"/>
      <c r="C7" s="13"/>
      <c r="D7" s="13"/>
      <c r="E7" s="14"/>
      <c r="F7" s="13"/>
      <c r="G7" s="13"/>
      <c r="H7" s="13"/>
      <c r="I7" s="13"/>
      <c r="J7" s="13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13"/>
      <c r="BJ7" s="13"/>
      <c r="BK7" s="13"/>
      <c r="BL7" s="46"/>
      <c r="BM7" s="46"/>
      <c r="BN7" s="46"/>
      <c r="BO7" s="46"/>
      <c r="BP7" s="46"/>
      <c r="BQ7" s="46"/>
      <c r="BR7" s="34"/>
      <c r="BS7" s="34"/>
      <c r="BT7" s="34"/>
      <c r="BU7" s="34"/>
      <c r="BV7" s="34"/>
      <c r="BW7" s="34"/>
      <c r="BX7" s="34"/>
      <c r="BY7" s="4"/>
    </row>
    <row r="8" spans="1:77">
      <c r="A8" s="57"/>
      <c r="B8" s="13"/>
      <c r="C8" s="13"/>
      <c r="D8" s="13"/>
      <c r="E8" s="14"/>
      <c r="F8" s="13"/>
      <c r="G8" s="13"/>
      <c r="H8" s="13"/>
      <c r="I8" s="13"/>
      <c r="J8" s="1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13"/>
      <c r="BJ8" s="13"/>
      <c r="BK8" s="13"/>
      <c r="BL8" s="46"/>
      <c r="BM8" s="46"/>
      <c r="BN8" s="46"/>
      <c r="BO8" s="46"/>
      <c r="BP8" s="46"/>
      <c r="BQ8" s="46"/>
      <c r="BR8" s="34"/>
      <c r="BS8" s="34"/>
      <c r="BT8" s="34"/>
      <c r="BU8" s="34"/>
      <c r="BV8" s="34"/>
      <c r="BW8" s="34"/>
      <c r="BX8" s="34"/>
      <c r="BY8" s="4"/>
    </row>
    <row r="9" spans="1:77">
      <c r="A9" s="57"/>
      <c r="B9" s="12"/>
      <c r="C9" s="13"/>
      <c r="D9" s="13"/>
      <c r="E9" s="14"/>
      <c r="F9" s="13"/>
      <c r="G9" s="13"/>
      <c r="H9" s="13"/>
      <c r="I9" s="13"/>
      <c r="J9" s="1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13"/>
      <c r="BJ9" s="13"/>
      <c r="BK9" s="13"/>
      <c r="BL9" s="46"/>
      <c r="BM9" s="46"/>
      <c r="BN9" s="46"/>
      <c r="BO9" s="46"/>
      <c r="BP9" s="46"/>
      <c r="BQ9" s="46"/>
      <c r="BR9" s="34"/>
      <c r="BS9" s="34"/>
      <c r="BT9" s="34"/>
      <c r="BU9" s="34"/>
      <c r="BV9" s="34"/>
      <c r="BW9" s="34"/>
      <c r="BX9" s="34"/>
      <c r="BY9" s="4"/>
    </row>
    <row r="10" spans="1:77">
      <c r="A10" s="57"/>
      <c r="B10" s="12"/>
      <c r="C10" s="13"/>
      <c r="D10" s="13"/>
      <c r="E10" s="14"/>
      <c r="F10" s="13"/>
      <c r="G10" s="13"/>
      <c r="H10" s="13"/>
      <c r="I10" s="13"/>
      <c r="J10" s="1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13"/>
      <c r="BJ10" s="13"/>
      <c r="BK10" s="13"/>
      <c r="BL10" s="46"/>
      <c r="BM10" s="46"/>
      <c r="BN10" s="46"/>
      <c r="BO10" s="46"/>
      <c r="BP10" s="46"/>
      <c r="BQ10" s="46"/>
      <c r="BR10" s="34"/>
      <c r="BS10" s="34"/>
      <c r="BT10" s="34"/>
      <c r="BU10" s="34"/>
      <c r="BV10" s="34"/>
      <c r="BW10" s="34"/>
      <c r="BX10" s="34"/>
      <c r="BY10" s="4"/>
    </row>
    <row r="11" spans="1:77">
      <c r="A11" s="57"/>
      <c r="B11" s="22"/>
      <c r="C11" s="13"/>
      <c r="D11" s="13"/>
      <c r="E11" s="14"/>
      <c r="F11" s="13"/>
      <c r="G11" s="13"/>
      <c r="H11" s="13"/>
      <c r="I11" s="13"/>
      <c r="J11" s="13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13"/>
      <c r="BJ11" s="13"/>
      <c r="BK11" s="13"/>
      <c r="BL11" s="46"/>
      <c r="BM11" s="46"/>
      <c r="BN11" s="46"/>
      <c r="BO11" s="46"/>
      <c r="BP11" s="46"/>
      <c r="BQ11" s="46"/>
      <c r="BR11" s="34"/>
      <c r="BS11" s="34"/>
      <c r="BT11" s="34"/>
      <c r="BU11" s="34"/>
      <c r="BV11" s="34"/>
      <c r="BW11" s="34"/>
      <c r="BX11" s="34"/>
      <c r="BY11" s="4"/>
    </row>
    <row r="12" spans="1:77">
      <c r="A12" s="57"/>
      <c r="B12" s="22"/>
      <c r="C12" s="13"/>
      <c r="D12" s="13"/>
      <c r="E12" s="14"/>
      <c r="F12" s="13"/>
      <c r="G12" s="13"/>
      <c r="H12" s="13"/>
      <c r="I12" s="13"/>
      <c r="J12" s="13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13"/>
      <c r="BJ12" s="13"/>
      <c r="BK12" s="13"/>
      <c r="BL12" s="46"/>
      <c r="BM12" s="46"/>
      <c r="BN12" s="46"/>
      <c r="BO12" s="46"/>
      <c r="BP12" s="46"/>
      <c r="BQ12" s="46"/>
      <c r="BR12" s="34"/>
      <c r="BS12" s="34"/>
      <c r="BT12" s="34"/>
      <c r="BU12" s="34"/>
      <c r="BV12" s="34"/>
      <c r="BW12" s="34"/>
      <c r="BX12" s="34"/>
      <c r="BY12" s="4"/>
    </row>
    <row r="13" spans="1:77">
      <c r="A13" s="57"/>
      <c r="B13" s="22"/>
      <c r="C13" s="13"/>
      <c r="D13" s="13"/>
      <c r="E13" s="14"/>
      <c r="F13" s="13"/>
      <c r="G13" s="13"/>
      <c r="H13" s="13"/>
      <c r="I13" s="13"/>
      <c r="J13" s="13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13"/>
      <c r="BJ13" s="13"/>
      <c r="BK13" s="13"/>
      <c r="BL13" s="46"/>
      <c r="BM13" s="46"/>
      <c r="BN13" s="46"/>
      <c r="BO13" s="46"/>
      <c r="BP13" s="46"/>
      <c r="BQ13" s="46"/>
      <c r="BR13" s="34"/>
      <c r="BS13" s="34"/>
      <c r="BT13" s="34"/>
      <c r="BU13" s="34"/>
      <c r="BV13" s="34"/>
      <c r="BW13" s="34"/>
      <c r="BX13" s="34"/>
      <c r="BY13" s="4"/>
    </row>
    <row r="14" spans="1:77">
      <c r="A14" s="57"/>
      <c r="B14" s="22"/>
      <c r="C14" s="13"/>
      <c r="D14" s="13"/>
      <c r="E14" s="14"/>
      <c r="F14" s="13"/>
      <c r="G14" s="13"/>
      <c r="H14" s="13"/>
      <c r="I14" s="13"/>
      <c r="J14" s="13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13"/>
      <c r="BJ14" s="13"/>
      <c r="BK14" s="13"/>
      <c r="BL14" s="46"/>
      <c r="BM14" s="46"/>
      <c r="BN14" s="46"/>
      <c r="BO14" s="46"/>
      <c r="BP14" s="46"/>
      <c r="BQ14" s="46"/>
      <c r="BR14" s="34"/>
      <c r="BS14" s="34"/>
      <c r="BT14" s="34"/>
      <c r="BU14" s="34"/>
      <c r="BV14" s="34"/>
      <c r="BW14" s="34"/>
      <c r="BX14" s="34"/>
      <c r="BY14" s="4"/>
    </row>
    <row r="15" spans="1:77">
      <c r="A15" s="57"/>
      <c r="B15" s="22"/>
      <c r="C15" s="13"/>
      <c r="D15" s="13"/>
      <c r="E15" s="14"/>
      <c r="F15" s="13"/>
      <c r="G15" s="13"/>
      <c r="H15" s="13"/>
      <c r="I15" s="13"/>
      <c r="J15" s="13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13"/>
      <c r="BJ15" s="13"/>
      <c r="BK15" s="13"/>
      <c r="BL15" s="46"/>
      <c r="BM15" s="46"/>
      <c r="BN15" s="46"/>
      <c r="BO15" s="46"/>
      <c r="BP15" s="46"/>
      <c r="BQ15" s="46"/>
      <c r="BR15" s="34"/>
      <c r="BS15" s="34"/>
      <c r="BT15" s="34"/>
      <c r="BU15" s="34"/>
      <c r="BV15" s="34"/>
      <c r="BW15" s="34"/>
      <c r="BX15" s="34"/>
      <c r="BY15" s="4"/>
    </row>
    <row r="16" spans="1:77">
      <c r="A16" s="57"/>
      <c r="B16" s="22"/>
      <c r="C16" s="13"/>
      <c r="D16" s="13"/>
      <c r="E16" s="14"/>
      <c r="F16" s="13"/>
      <c r="G16" s="13"/>
      <c r="H16" s="13"/>
      <c r="I16" s="13"/>
      <c r="J16" s="13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13"/>
      <c r="BJ16" s="13"/>
      <c r="BK16" s="13"/>
      <c r="BL16" s="46"/>
      <c r="BM16" s="46"/>
      <c r="BN16" s="46"/>
      <c r="BO16" s="46"/>
      <c r="BP16" s="46"/>
      <c r="BQ16" s="46"/>
      <c r="BR16" s="34"/>
      <c r="BS16" s="34"/>
      <c r="BT16" s="34"/>
      <c r="BU16" s="34"/>
      <c r="BV16" s="34"/>
      <c r="BW16" s="34"/>
      <c r="BX16" s="34"/>
      <c r="BY16" s="4"/>
    </row>
    <row r="17" spans="1:77">
      <c r="A17" s="57"/>
      <c r="B17" s="22"/>
      <c r="C17" s="13"/>
      <c r="D17" s="13"/>
      <c r="E17" s="14"/>
      <c r="F17" s="13"/>
      <c r="G17" s="13"/>
      <c r="H17" s="13"/>
      <c r="I17" s="13"/>
      <c r="J17" s="13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13"/>
      <c r="BJ17" s="13"/>
      <c r="BK17" s="13"/>
      <c r="BL17" s="46"/>
      <c r="BM17" s="46"/>
      <c r="BN17" s="46"/>
      <c r="BO17" s="46"/>
      <c r="BP17" s="46"/>
      <c r="BQ17" s="46"/>
      <c r="BR17" s="34"/>
      <c r="BS17" s="34"/>
      <c r="BT17" s="34"/>
      <c r="BU17" s="34"/>
      <c r="BV17" s="34"/>
      <c r="BW17" s="34"/>
      <c r="BX17" s="34"/>
      <c r="BY17" s="4"/>
    </row>
    <row r="18" spans="1:77">
      <c r="A18" s="57"/>
      <c r="B18" s="22"/>
      <c r="C18" s="13"/>
      <c r="D18" s="13"/>
      <c r="E18" s="14"/>
      <c r="F18" s="13"/>
      <c r="G18" s="13"/>
      <c r="H18" s="13"/>
      <c r="I18" s="13"/>
      <c r="J18" s="13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13"/>
      <c r="BJ18" s="13"/>
      <c r="BK18" s="13"/>
      <c r="BL18" s="46"/>
      <c r="BM18" s="46"/>
      <c r="BN18" s="46"/>
      <c r="BO18" s="46"/>
      <c r="BP18" s="46"/>
      <c r="BQ18" s="46"/>
      <c r="BR18" s="34"/>
      <c r="BS18" s="34"/>
      <c r="BT18" s="34"/>
      <c r="BU18" s="34"/>
      <c r="BV18" s="34"/>
      <c r="BW18" s="34"/>
      <c r="BX18" s="34"/>
      <c r="BY18" s="4"/>
    </row>
    <row r="19" spans="1:77">
      <c r="A19" s="57"/>
      <c r="B19" s="22"/>
      <c r="C19" s="13"/>
      <c r="D19" s="13"/>
      <c r="E19" s="14"/>
      <c r="F19" s="13"/>
      <c r="G19" s="13"/>
      <c r="H19" s="13"/>
      <c r="I19" s="13"/>
      <c r="J19" s="13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13"/>
      <c r="BJ19" s="13"/>
      <c r="BK19" s="13"/>
      <c r="BL19" s="46"/>
      <c r="BM19" s="46"/>
      <c r="BN19" s="46"/>
      <c r="BO19" s="46"/>
      <c r="BP19" s="46"/>
      <c r="BQ19" s="46"/>
      <c r="BR19" s="34"/>
      <c r="BS19" s="34"/>
      <c r="BT19" s="34"/>
      <c r="BU19" s="34"/>
      <c r="BV19" s="34"/>
      <c r="BW19" s="34"/>
      <c r="BX19" s="34"/>
      <c r="BY19" s="4"/>
    </row>
    <row r="20" spans="1:77">
      <c r="A20" s="57"/>
      <c r="B20" s="23"/>
      <c r="C20" s="13"/>
      <c r="D20" s="13"/>
      <c r="E20" s="14"/>
      <c r="F20" s="13"/>
      <c r="G20" s="13"/>
      <c r="H20" s="13"/>
      <c r="I20" s="13"/>
      <c r="J20" s="13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13"/>
      <c r="BJ20" s="13"/>
      <c r="BK20" s="13"/>
      <c r="BL20" s="46"/>
      <c r="BM20" s="46"/>
      <c r="BN20" s="46"/>
      <c r="BO20" s="46"/>
      <c r="BP20" s="46"/>
      <c r="BQ20" s="46"/>
      <c r="BR20" s="34"/>
      <c r="BS20" s="34"/>
      <c r="BT20" s="34"/>
      <c r="BU20" s="34"/>
      <c r="BV20" s="34"/>
      <c r="BW20" s="34"/>
      <c r="BX20" s="34"/>
      <c r="BY20" s="4"/>
    </row>
    <row r="21" spans="1:77">
      <c r="A21" s="57"/>
      <c r="B21" s="22"/>
      <c r="C21" s="13"/>
      <c r="D21" s="13"/>
      <c r="E21" s="14"/>
      <c r="F21" s="13"/>
      <c r="G21" s="13"/>
      <c r="H21" s="13"/>
      <c r="I21" s="13"/>
      <c r="J21" s="13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13"/>
      <c r="BJ21" s="13"/>
      <c r="BK21" s="13"/>
      <c r="BL21" s="46"/>
      <c r="BM21" s="46"/>
      <c r="BN21" s="46"/>
      <c r="BO21" s="46"/>
      <c r="BP21" s="46"/>
      <c r="BQ21" s="46"/>
      <c r="BR21" s="34"/>
      <c r="BS21" s="34"/>
      <c r="BT21" s="34"/>
      <c r="BU21" s="34"/>
      <c r="BV21" s="34"/>
      <c r="BW21" s="34"/>
      <c r="BX21" s="34"/>
      <c r="BY21" s="4"/>
    </row>
    <row r="22" spans="1:77">
      <c r="A22" s="57"/>
      <c r="B22" s="22"/>
      <c r="C22" s="13"/>
      <c r="D22" s="13"/>
      <c r="E22" s="14"/>
      <c r="F22" s="13"/>
      <c r="G22" s="13"/>
      <c r="H22" s="13"/>
      <c r="I22" s="13"/>
      <c r="J22" s="1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13"/>
      <c r="BJ22" s="13"/>
      <c r="BK22" s="13"/>
      <c r="BL22" s="46"/>
      <c r="BM22" s="46"/>
      <c r="BN22" s="46"/>
      <c r="BO22" s="46"/>
      <c r="BP22" s="46"/>
      <c r="BQ22" s="46"/>
      <c r="BR22" s="34"/>
      <c r="BS22" s="34"/>
      <c r="BT22" s="34"/>
      <c r="BU22" s="34"/>
      <c r="BV22" s="34"/>
      <c r="BW22" s="34"/>
      <c r="BX22" s="34"/>
      <c r="BY22" s="4"/>
    </row>
    <row r="23" spans="1:77">
      <c r="A23" s="57"/>
      <c r="B23" s="22"/>
      <c r="C23" s="13"/>
      <c r="D23" s="13"/>
      <c r="E23" s="14"/>
      <c r="F23" s="13"/>
      <c r="G23" s="13"/>
      <c r="H23" s="13"/>
      <c r="I23" s="13"/>
      <c r="J23" s="13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13"/>
      <c r="BJ23" s="13"/>
      <c r="BK23" s="13"/>
      <c r="BL23" s="46"/>
      <c r="BM23" s="46"/>
      <c r="BN23" s="46"/>
      <c r="BO23" s="46"/>
      <c r="BP23" s="46"/>
      <c r="BQ23" s="46"/>
      <c r="BR23" s="34"/>
      <c r="BS23" s="34"/>
      <c r="BT23" s="34"/>
      <c r="BU23" s="34"/>
      <c r="BV23" s="34"/>
      <c r="BW23" s="34"/>
      <c r="BX23" s="34"/>
      <c r="BY23" s="4"/>
    </row>
    <row r="24" spans="1:77">
      <c r="A24" s="57"/>
      <c r="B24" s="23"/>
      <c r="C24" s="13"/>
      <c r="D24" s="13"/>
      <c r="E24" s="14"/>
      <c r="F24" s="13"/>
      <c r="G24" s="13"/>
      <c r="H24" s="13"/>
      <c r="I24" s="13"/>
      <c r="J24" s="1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13"/>
      <c r="BJ24" s="13"/>
      <c r="BK24" s="13"/>
      <c r="BL24" s="46"/>
      <c r="BM24" s="46"/>
      <c r="BN24" s="46"/>
      <c r="BO24" s="46"/>
      <c r="BP24" s="46"/>
      <c r="BQ24" s="46"/>
      <c r="BR24" s="34"/>
      <c r="BS24" s="34"/>
      <c r="BT24" s="34"/>
      <c r="BU24" s="34"/>
      <c r="BV24" s="34"/>
      <c r="BW24" s="34"/>
      <c r="BX24" s="34"/>
      <c r="BY24" s="4"/>
    </row>
    <row r="25" spans="1:77">
      <c r="A25" s="57"/>
      <c r="B25" s="22"/>
      <c r="C25" s="13"/>
      <c r="D25" s="13"/>
      <c r="E25" s="14"/>
      <c r="F25" s="13"/>
      <c r="G25" s="13"/>
      <c r="H25" s="13"/>
      <c r="I25" s="13"/>
      <c r="J25" s="13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13"/>
      <c r="BJ25" s="13"/>
      <c r="BK25" s="13"/>
      <c r="BL25" s="46"/>
      <c r="BM25" s="46"/>
      <c r="BN25" s="46"/>
      <c r="BO25" s="46"/>
      <c r="BP25" s="46"/>
      <c r="BQ25" s="46"/>
      <c r="BR25" s="34"/>
      <c r="BS25" s="34"/>
      <c r="BT25" s="34"/>
      <c r="BU25" s="34"/>
      <c r="BV25" s="34"/>
      <c r="BW25" s="34"/>
      <c r="BX25" s="34"/>
      <c r="BY25" s="4"/>
    </row>
    <row r="26" spans="1:77">
      <c r="A26" s="57"/>
      <c r="B26" s="22"/>
      <c r="C26" s="13"/>
      <c r="D26" s="13"/>
      <c r="E26" s="14"/>
      <c r="F26" s="13"/>
      <c r="G26" s="13"/>
      <c r="H26" s="13"/>
      <c r="I26" s="13"/>
      <c r="J26" s="13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13"/>
      <c r="BJ26" s="13"/>
      <c r="BK26" s="13"/>
      <c r="BL26" s="46"/>
      <c r="BM26" s="46"/>
      <c r="BN26" s="46"/>
      <c r="BO26" s="46"/>
      <c r="BP26" s="46"/>
      <c r="BQ26" s="46"/>
      <c r="BR26" s="34"/>
      <c r="BS26" s="34"/>
      <c r="BT26" s="34"/>
      <c r="BU26" s="34"/>
      <c r="BV26" s="34"/>
      <c r="BW26" s="34"/>
      <c r="BX26" s="34"/>
      <c r="BY26" s="4"/>
    </row>
    <row r="27" spans="1:77">
      <c r="A27" s="57"/>
      <c r="B27" s="23"/>
      <c r="C27" s="13"/>
      <c r="D27" s="13"/>
      <c r="E27" s="14"/>
      <c r="F27" s="13"/>
      <c r="G27" s="13"/>
      <c r="H27" s="13"/>
      <c r="I27" s="13"/>
      <c r="J27" s="13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13"/>
      <c r="BJ27" s="13"/>
      <c r="BK27" s="13"/>
      <c r="BL27" s="46"/>
      <c r="BM27" s="46"/>
      <c r="BN27" s="46"/>
      <c r="BO27" s="46"/>
      <c r="BP27" s="46"/>
      <c r="BQ27" s="46"/>
      <c r="BR27" s="34"/>
      <c r="BS27" s="34"/>
      <c r="BT27" s="34"/>
      <c r="BU27" s="34"/>
      <c r="BV27" s="34"/>
      <c r="BW27" s="34"/>
      <c r="BX27" s="34"/>
      <c r="BY27" s="4"/>
    </row>
    <row r="28" spans="1:77">
      <c r="A28" s="57"/>
      <c r="B28" s="22"/>
      <c r="C28" s="13"/>
      <c r="D28" s="13"/>
      <c r="E28" s="14"/>
      <c r="F28" s="13"/>
      <c r="G28" s="13"/>
      <c r="H28" s="13"/>
      <c r="I28" s="13"/>
      <c r="J28" s="13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13"/>
      <c r="BJ28" s="13"/>
      <c r="BK28" s="13"/>
      <c r="BL28" s="46"/>
      <c r="BM28" s="46"/>
      <c r="BN28" s="46"/>
      <c r="BO28" s="46"/>
      <c r="BP28" s="46"/>
      <c r="BQ28" s="46"/>
      <c r="BR28" s="34"/>
      <c r="BS28" s="34"/>
      <c r="BT28" s="34"/>
      <c r="BU28" s="34"/>
      <c r="BV28" s="34"/>
      <c r="BW28" s="34"/>
      <c r="BX28" s="34"/>
      <c r="BY28" s="4"/>
    </row>
    <row r="29" spans="1:77">
      <c r="A29" s="57"/>
      <c r="B29" s="22"/>
      <c r="C29" s="13"/>
      <c r="D29" s="13"/>
      <c r="E29" s="14"/>
      <c r="F29" s="13"/>
      <c r="G29" s="13"/>
      <c r="H29" s="13"/>
      <c r="I29" s="13"/>
      <c r="J29" s="1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13"/>
      <c r="BJ29" s="13"/>
      <c r="BK29" s="13"/>
      <c r="BL29" s="46"/>
      <c r="BM29" s="46"/>
      <c r="BN29" s="46"/>
      <c r="BO29" s="46"/>
      <c r="BP29" s="46"/>
      <c r="BQ29" s="46"/>
      <c r="BR29" s="34"/>
      <c r="BS29" s="34"/>
      <c r="BT29" s="34"/>
      <c r="BU29" s="34"/>
      <c r="BV29" s="34"/>
      <c r="BW29" s="34"/>
      <c r="BX29" s="34"/>
      <c r="BY29" s="4"/>
    </row>
    <row r="30" spans="1:77">
      <c r="A30" s="57"/>
      <c r="B30" s="24"/>
      <c r="C30" s="13"/>
      <c r="D30" s="13"/>
      <c r="E30" s="14"/>
      <c r="F30" s="13"/>
      <c r="G30" s="13"/>
      <c r="H30" s="13"/>
      <c r="I30" s="13"/>
      <c r="J30" s="13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13"/>
      <c r="BJ30" s="13"/>
      <c r="BK30" s="13"/>
      <c r="BL30" s="46"/>
      <c r="BM30" s="46"/>
      <c r="BN30" s="46"/>
      <c r="BO30" s="46"/>
      <c r="BP30" s="46"/>
      <c r="BQ30" s="46"/>
      <c r="BR30" s="34"/>
      <c r="BS30" s="34"/>
      <c r="BT30" s="34"/>
      <c r="BU30" s="34"/>
      <c r="BV30" s="34"/>
      <c r="BW30" s="34"/>
      <c r="BX30" s="34"/>
      <c r="BY30" s="4"/>
    </row>
    <row r="31" spans="1:77">
      <c r="A31" s="57"/>
      <c r="B31" s="23"/>
      <c r="C31" s="13"/>
      <c r="D31" s="13"/>
      <c r="E31" s="14"/>
      <c r="F31" s="13"/>
      <c r="G31" s="13"/>
      <c r="H31" s="13"/>
      <c r="I31" s="13"/>
      <c r="J31" s="13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13"/>
      <c r="BJ31" s="13"/>
      <c r="BK31" s="13"/>
      <c r="BL31" s="46"/>
      <c r="BM31" s="46"/>
      <c r="BN31" s="46"/>
      <c r="BO31" s="46"/>
      <c r="BP31" s="46"/>
      <c r="BQ31" s="46"/>
      <c r="BR31" s="34"/>
      <c r="BS31" s="34"/>
      <c r="BT31" s="34"/>
      <c r="BU31" s="34"/>
      <c r="BV31" s="34"/>
      <c r="BW31" s="34"/>
      <c r="BX31" s="34"/>
      <c r="BY31" s="4"/>
    </row>
    <row r="32" spans="1:77">
      <c r="A32" s="57"/>
      <c r="B32" s="23"/>
      <c r="C32" s="13"/>
      <c r="D32" s="13"/>
      <c r="E32" s="14"/>
      <c r="F32" s="13"/>
      <c r="G32" s="13"/>
      <c r="H32" s="13"/>
      <c r="I32" s="13"/>
      <c r="J32" s="13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13"/>
      <c r="BJ32" s="13"/>
      <c r="BK32" s="13"/>
      <c r="BL32" s="46"/>
      <c r="BM32" s="46"/>
      <c r="BN32" s="46"/>
      <c r="BO32" s="46"/>
      <c r="BP32" s="46"/>
      <c r="BQ32" s="46"/>
      <c r="BR32" s="34"/>
      <c r="BS32" s="34"/>
      <c r="BT32" s="34"/>
      <c r="BU32" s="34"/>
      <c r="BV32" s="34"/>
      <c r="BW32" s="34"/>
      <c r="BX32" s="34"/>
      <c r="BY32" s="4"/>
    </row>
    <row r="33" spans="1:77">
      <c r="A33" s="57"/>
      <c r="B33" s="22"/>
      <c r="C33" s="13"/>
      <c r="D33" s="13"/>
      <c r="E33" s="14"/>
      <c r="F33" s="13"/>
      <c r="G33" s="13"/>
      <c r="H33" s="13"/>
      <c r="I33" s="13"/>
      <c r="J33" s="13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13"/>
      <c r="BJ33" s="13"/>
      <c r="BK33" s="13"/>
      <c r="BL33" s="46"/>
      <c r="BM33" s="46"/>
      <c r="BN33" s="46"/>
      <c r="BO33" s="46"/>
      <c r="BP33" s="46"/>
      <c r="BQ33" s="46"/>
      <c r="BR33" s="34"/>
      <c r="BS33" s="34"/>
      <c r="BT33" s="34"/>
      <c r="BU33" s="34"/>
      <c r="BV33" s="34"/>
      <c r="BW33" s="34"/>
      <c r="BX33" s="34"/>
      <c r="BY33" s="4"/>
    </row>
    <row r="34" spans="1:77">
      <c r="A34" s="57"/>
      <c r="B34" s="22"/>
      <c r="C34" s="13"/>
      <c r="D34" s="13"/>
      <c r="E34" s="14"/>
      <c r="F34" s="13"/>
      <c r="G34" s="13"/>
      <c r="H34" s="13"/>
      <c r="I34" s="13"/>
      <c r="J34" s="13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13"/>
      <c r="BJ34" s="13"/>
      <c r="BK34" s="13"/>
      <c r="BL34" s="46"/>
      <c r="BM34" s="46"/>
      <c r="BN34" s="46"/>
      <c r="BO34" s="46"/>
      <c r="BP34" s="46"/>
      <c r="BQ34" s="46"/>
      <c r="BR34" s="34"/>
      <c r="BS34" s="34"/>
      <c r="BT34" s="34"/>
      <c r="BU34" s="34"/>
      <c r="BV34" s="34"/>
      <c r="BW34" s="34"/>
      <c r="BX34" s="34"/>
      <c r="BY34" s="4"/>
    </row>
    <row r="35" spans="1:77">
      <c r="A35" s="57"/>
      <c r="B35" s="23"/>
      <c r="C35" s="13"/>
      <c r="D35" s="13"/>
      <c r="E35" s="14"/>
      <c r="F35" s="13"/>
      <c r="G35" s="13"/>
      <c r="H35" s="13"/>
      <c r="I35" s="13"/>
      <c r="J35" s="13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13"/>
      <c r="BJ35" s="13"/>
      <c r="BK35" s="13"/>
      <c r="BL35" s="46"/>
      <c r="BM35" s="46"/>
      <c r="BN35" s="46"/>
      <c r="BO35" s="46"/>
      <c r="BP35" s="46"/>
      <c r="BQ35" s="46"/>
      <c r="BR35" s="34"/>
      <c r="BS35" s="34"/>
      <c r="BT35" s="34"/>
      <c r="BU35" s="34"/>
      <c r="BV35" s="34"/>
      <c r="BW35" s="34"/>
      <c r="BX35" s="34"/>
      <c r="BY35" s="4"/>
    </row>
    <row r="36" spans="1:77">
      <c r="A36" s="57"/>
      <c r="B36" s="23"/>
      <c r="C36" s="13"/>
      <c r="D36" s="13"/>
      <c r="E36" s="14"/>
      <c r="F36" s="13"/>
      <c r="G36" s="13"/>
      <c r="H36" s="13"/>
      <c r="I36" s="13"/>
      <c r="J36" s="13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13"/>
      <c r="BJ36" s="13"/>
      <c r="BK36" s="13"/>
      <c r="BL36" s="46"/>
      <c r="BM36" s="46"/>
      <c r="BN36" s="46"/>
      <c r="BO36" s="46"/>
      <c r="BP36" s="46"/>
      <c r="BQ36" s="46"/>
      <c r="BR36" s="34"/>
      <c r="BS36" s="34"/>
      <c r="BT36" s="34"/>
      <c r="BU36" s="34"/>
      <c r="BV36" s="34"/>
      <c r="BW36" s="34"/>
      <c r="BX36" s="34"/>
      <c r="BY36" s="4"/>
    </row>
    <row r="37" spans="1:77">
      <c r="A37" s="57"/>
      <c r="B37" s="23"/>
      <c r="C37" s="13"/>
      <c r="D37" s="13"/>
      <c r="E37" s="14"/>
      <c r="F37" s="13"/>
      <c r="G37" s="13"/>
      <c r="H37" s="13"/>
      <c r="I37" s="13"/>
      <c r="J37" s="13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13"/>
      <c r="BJ37" s="13"/>
      <c r="BK37" s="13"/>
      <c r="BL37" s="46"/>
      <c r="BM37" s="46"/>
      <c r="BN37" s="46"/>
      <c r="BO37" s="46"/>
      <c r="BP37" s="46"/>
      <c r="BQ37" s="46"/>
      <c r="BR37" s="34"/>
      <c r="BS37" s="34"/>
      <c r="BT37" s="34"/>
      <c r="BU37" s="34"/>
      <c r="BV37" s="34"/>
      <c r="BW37" s="34"/>
      <c r="BX37" s="34"/>
      <c r="BY37" s="4"/>
    </row>
    <row r="38" spans="1:77">
      <c r="A38" s="57"/>
      <c r="B38" s="22"/>
      <c r="C38" s="13"/>
      <c r="D38" s="13"/>
      <c r="E38" s="14"/>
      <c r="F38" s="13"/>
      <c r="G38" s="13"/>
      <c r="H38" s="13"/>
      <c r="I38" s="13"/>
      <c r="J38" s="13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13"/>
      <c r="BJ38" s="13"/>
      <c r="BK38" s="13"/>
      <c r="BL38" s="46"/>
      <c r="BM38" s="46"/>
      <c r="BN38" s="46"/>
      <c r="BO38" s="46"/>
      <c r="BP38" s="46"/>
      <c r="BQ38" s="46"/>
      <c r="BR38" s="34"/>
      <c r="BS38" s="34"/>
      <c r="BT38" s="34"/>
      <c r="BU38" s="34"/>
      <c r="BV38" s="34"/>
      <c r="BW38" s="34"/>
      <c r="BX38" s="34"/>
      <c r="BY38" s="4"/>
    </row>
    <row r="39" spans="1:77">
      <c r="A39" s="57"/>
      <c r="B39" s="22"/>
      <c r="C39" s="13"/>
      <c r="D39" s="13"/>
      <c r="E39" s="14"/>
      <c r="F39" s="13"/>
      <c r="G39" s="13"/>
      <c r="H39" s="13"/>
      <c r="I39" s="13"/>
      <c r="J39" s="13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13"/>
      <c r="BJ39" s="13"/>
      <c r="BK39" s="13"/>
      <c r="BL39" s="46"/>
      <c r="BM39" s="46"/>
      <c r="BN39" s="46"/>
      <c r="BO39" s="46"/>
      <c r="BP39" s="46"/>
      <c r="BQ39" s="46"/>
      <c r="BR39" s="34"/>
      <c r="BS39" s="34"/>
      <c r="BT39" s="34"/>
      <c r="BU39" s="34"/>
      <c r="BV39" s="34"/>
      <c r="BW39" s="34"/>
      <c r="BX39" s="34"/>
      <c r="BY39" s="4"/>
    </row>
    <row r="40" spans="1:77">
      <c r="A40" s="57"/>
      <c r="B40" s="22"/>
      <c r="C40" s="13"/>
      <c r="D40" s="13"/>
      <c r="E40" s="14"/>
      <c r="F40" s="13"/>
      <c r="G40" s="13"/>
      <c r="H40" s="13"/>
      <c r="I40" s="13"/>
      <c r="J40" s="13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13"/>
      <c r="BJ40" s="13"/>
      <c r="BK40" s="13"/>
      <c r="BL40" s="46"/>
      <c r="BM40" s="46"/>
      <c r="BN40" s="46"/>
      <c r="BO40" s="46"/>
      <c r="BP40" s="46"/>
      <c r="BQ40" s="46"/>
      <c r="BR40" s="34"/>
      <c r="BS40" s="34"/>
      <c r="BT40" s="34"/>
      <c r="BU40" s="34"/>
      <c r="BV40" s="34"/>
      <c r="BW40" s="34"/>
      <c r="BX40" s="34"/>
      <c r="BY40" s="4"/>
    </row>
    <row r="41" spans="1:77">
      <c r="A41" s="57"/>
      <c r="B41" s="23"/>
      <c r="C41" s="13"/>
      <c r="D41" s="13"/>
      <c r="E41" s="14"/>
      <c r="F41" s="13"/>
      <c r="G41" s="13"/>
      <c r="H41" s="13"/>
      <c r="I41" s="13"/>
      <c r="J41" s="13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13"/>
      <c r="BJ41" s="13"/>
      <c r="BK41" s="13"/>
      <c r="BL41" s="46"/>
      <c r="BM41" s="46"/>
      <c r="BN41" s="46"/>
      <c r="BO41" s="46"/>
      <c r="BP41" s="46"/>
      <c r="BQ41" s="46"/>
      <c r="BR41" s="34"/>
      <c r="BS41" s="34"/>
      <c r="BT41" s="34"/>
      <c r="BU41" s="34"/>
      <c r="BV41" s="34"/>
      <c r="BW41" s="34"/>
      <c r="BX41" s="34"/>
      <c r="BY41" s="4"/>
    </row>
    <row r="42" spans="1:77">
      <c r="A42" s="57"/>
      <c r="B42" s="22"/>
      <c r="C42" s="13"/>
      <c r="D42" s="13"/>
      <c r="E42" s="14"/>
      <c r="F42" s="13"/>
      <c r="G42" s="13"/>
      <c r="H42" s="13"/>
      <c r="I42" s="13"/>
      <c r="J42" s="13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13"/>
      <c r="BJ42" s="13"/>
      <c r="BK42" s="13"/>
      <c r="BL42" s="46"/>
      <c r="BM42" s="46"/>
      <c r="BN42" s="46"/>
      <c r="BO42" s="46"/>
      <c r="BP42" s="46"/>
      <c r="BQ42" s="46"/>
      <c r="BR42" s="34"/>
      <c r="BS42" s="34"/>
      <c r="BT42" s="34"/>
      <c r="BU42" s="34"/>
      <c r="BV42" s="34"/>
      <c r="BW42" s="34"/>
      <c r="BX42" s="34"/>
      <c r="BY42" s="4"/>
    </row>
    <row r="43" spans="1:77">
      <c r="A43" s="57"/>
      <c r="B43" s="23"/>
      <c r="C43" s="13"/>
      <c r="D43" s="13"/>
      <c r="E43" s="14"/>
      <c r="F43" s="13"/>
      <c r="G43" s="13"/>
      <c r="H43" s="13"/>
      <c r="I43" s="13"/>
      <c r="J43" s="13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13"/>
      <c r="BJ43" s="13"/>
      <c r="BK43" s="13"/>
      <c r="BL43" s="46"/>
      <c r="BM43" s="46"/>
      <c r="BN43" s="46"/>
      <c r="BO43" s="46"/>
      <c r="BP43" s="46"/>
      <c r="BQ43" s="46"/>
      <c r="BR43" s="34"/>
      <c r="BS43" s="34"/>
      <c r="BT43" s="34"/>
      <c r="BU43" s="34"/>
      <c r="BV43" s="34"/>
      <c r="BW43" s="34"/>
      <c r="BX43" s="34"/>
      <c r="BY43" s="4"/>
    </row>
    <row r="44" spans="1:77">
      <c r="A44" s="57"/>
      <c r="B44" s="23"/>
      <c r="C44" s="13"/>
      <c r="D44" s="13"/>
      <c r="E44" s="14"/>
      <c r="F44" s="13"/>
      <c r="G44" s="13"/>
      <c r="H44" s="13"/>
      <c r="I44" s="13"/>
      <c r="J44" s="13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13"/>
      <c r="BJ44" s="13"/>
      <c r="BK44" s="13"/>
      <c r="BL44" s="46"/>
      <c r="BM44" s="46"/>
      <c r="BN44" s="46"/>
      <c r="BO44" s="46"/>
      <c r="BP44" s="46"/>
      <c r="BQ44" s="46"/>
      <c r="BR44" s="34"/>
      <c r="BS44" s="34"/>
      <c r="BT44" s="34"/>
      <c r="BU44" s="34"/>
      <c r="BV44" s="34"/>
      <c r="BW44" s="34"/>
      <c r="BX44" s="34"/>
      <c r="BY44" s="4"/>
    </row>
    <row r="45" spans="1:77">
      <c r="A45" s="57"/>
      <c r="B45" s="22"/>
      <c r="C45" s="13"/>
      <c r="D45" s="13"/>
      <c r="E45" s="14"/>
      <c r="F45" s="13"/>
      <c r="G45" s="13"/>
      <c r="H45" s="13"/>
      <c r="I45" s="13"/>
      <c r="J45" s="13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13"/>
      <c r="BJ45" s="13"/>
      <c r="BK45" s="13"/>
      <c r="BL45" s="46"/>
      <c r="BM45" s="46"/>
      <c r="BN45" s="46"/>
      <c r="BO45" s="46"/>
      <c r="BP45" s="46"/>
      <c r="BQ45" s="46"/>
      <c r="BR45" s="34"/>
      <c r="BS45" s="34"/>
      <c r="BT45" s="34"/>
      <c r="BU45" s="34"/>
      <c r="BV45" s="34"/>
      <c r="BW45" s="34"/>
      <c r="BX45" s="34"/>
      <c r="BY45" s="4"/>
    </row>
    <row r="46" spans="1:77">
      <c r="A46" s="57"/>
      <c r="B46" s="22"/>
      <c r="C46" s="13"/>
      <c r="D46" s="13"/>
      <c r="E46" s="14"/>
      <c r="F46" s="13"/>
      <c r="G46" s="13"/>
      <c r="H46" s="13"/>
      <c r="I46" s="13"/>
      <c r="J46" s="13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13"/>
      <c r="BJ46" s="13"/>
      <c r="BK46" s="13"/>
      <c r="BL46" s="46"/>
      <c r="BM46" s="46"/>
      <c r="BN46" s="46"/>
      <c r="BO46" s="46"/>
      <c r="BP46" s="46"/>
      <c r="BQ46" s="46"/>
      <c r="BR46" s="34"/>
      <c r="BS46" s="34"/>
      <c r="BT46" s="34"/>
      <c r="BU46" s="34"/>
      <c r="BV46" s="34"/>
      <c r="BW46" s="34"/>
      <c r="BX46" s="34"/>
      <c r="BY46" s="4"/>
    </row>
    <row r="47" spans="1:77">
      <c r="A47" s="57"/>
      <c r="B47" s="23"/>
      <c r="C47" s="13"/>
      <c r="D47" s="13"/>
      <c r="E47" s="14"/>
      <c r="F47" s="13"/>
      <c r="G47" s="13"/>
      <c r="H47" s="13"/>
      <c r="I47" s="13"/>
      <c r="J47" s="13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13"/>
      <c r="BJ47" s="13"/>
      <c r="BK47" s="13"/>
      <c r="BL47" s="46"/>
      <c r="BM47" s="46"/>
      <c r="BN47" s="46"/>
      <c r="BO47" s="46"/>
      <c r="BP47" s="46"/>
      <c r="BQ47" s="46"/>
      <c r="BR47" s="34"/>
      <c r="BS47" s="34"/>
      <c r="BT47" s="34"/>
      <c r="BU47" s="34"/>
      <c r="BV47" s="34"/>
      <c r="BW47" s="34"/>
      <c r="BX47" s="34"/>
      <c r="BY47" s="4"/>
    </row>
    <row r="48" spans="1:77">
      <c r="A48" s="57"/>
      <c r="B48" s="22"/>
      <c r="C48" s="13"/>
      <c r="D48" s="13"/>
      <c r="E48" s="14"/>
      <c r="F48" s="13"/>
      <c r="G48" s="13"/>
      <c r="H48" s="13"/>
      <c r="I48" s="13"/>
      <c r="J48" s="13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13"/>
      <c r="BJ48" s="13"/>
      <c r="BK48" s="13"/>
      <c r="BL48" s="46"/>
      <c r="BM48" s="46"/>
      <c r="BN48" s="46"/>
      <c r="BO48" s="46"/>
      <c r="BP48" s="46"/>
      <c r="BQ48" s="46"/>
      <c r="BR48" s="34"/>
      <c r="BS48" s="34"/>
      <c r="BT48" s="34"/>
      <c r="BU48" s="34"/>
      <c r="BV48" s="34"/>
      <c r="BW48" s="34"/>
      <c r="BX48" s="34"/>
      <c r="BY48" s="4"/>
    </row>
    <row r="49" spans="1:77">
      <c r="A49" s="57"/>
      <c r="B49" s="22"/>
      <c r="C49" s="13"/>
      <c r="D49" s="13"/>
      <c r="E49" s="14"/>
      <c r="F49" s="13"/>
      <c r="G49" s="13"/>
      <c r="H49" s="13"/>
      <c r="I49" s="13"/>
      <c r="J49" s="13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13"/>
      <c r="BJ49" s="13"/>
      <c r="BK49" s="13"/>
      <c r="BL49" s="46"/>
      <c r="BM49" s="46"/>
      <c r="BN49" s="46"/>
      <c r="BO49" s="46"/>
      <c r="BP49" s="46"/>
      <c r="BQ49" s="46"/>
      <c r="BR49" s="34"/>
      <c r="BS49" s="34"/>
      <c r="BT49" s="34"/>
      <c r="BU49" s="34"/>
      <c r="BV49" s="34"/>
      <c r="BW49" s="34"/>
      <c r="BX49" s="34"/>
      <c r="BY49" s="4"/>
    </row>
    <row r="50" spans="1:77">
      <c r="A50" s="57"/>
      <c r="B50" s="22"/>
      <c r="C50" s="13"/>
      <c r="D50" s="13"/>
      <c r="E50" s="14"/>
      <c r="F50" s="13"/>
      <c r="G50" s="13"/>
      <c r="H50" s="13"/>
      <c r="I50" s="13"/>
      <c r="J50" s="13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13"/>
      <c r="BJ50" s="13"/>
      <c r="BK50" s="13"/>
      <c r="BL50" s="46"/>
      <c r="BM50" s="46"/>
      <c r="BN50" s="46"/>
      <c r="BO50" s="46"/>
      <c r="BP50" s="46"/>
      <c r="BQ50" s="46"/>
      <c r="BR50" s="34"/>
      <c r="BS50" s="34"/>
      <c r="BT50" s="34"/>
      <c r="BU50" s="34"/>
      <c r="BV50" s="34"/>
      <c r="BW50" s="34"/>
      <c r="BX50" s="34"/>
      <c r="BY50" s="4"/>
    </row>
    <row r="51" spans="1:77">
      <c r="A51" s="57"/>
      <c r="B51" s="23"/>
      <c r="C51" s="13"/>
      <c r="D51" s="13"/>
      <c r="E51" s="14"/>
      <c r="F51" s="13"/>
      <c r="G51" s="13"/>
      <c r="H51" s="13"/>
      <c r="I51" s="13"/>
      <c r="J51" s="13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13"/>
      <c r="BJ51" s="13"/>
      <c r="BK51" s="13"/>
      <c r="BL51" s="46"/>
      <c r="BM51" s="46"/>
      <c r="BN51" s="46"/>
      <c r="BO51" s="46"/>
      <c r="BP51" s="46"/>
      <c r="BQ51" s="46"/>
      <c r="BR51" s="34"/>
      <c r="BS51" s="34"/>
      <c r="BT51" s="34"/>
      <c r="BU51" s="34"/>
      <c r="BV51" s="34"/>
      <c r="BW51" s="34"/>
      <c r="BX51" s="34"/>
      <c r="BY51" s="4"/>
    </row>
    <row r="52" spans="1:77">
      <c r="A52" s="57"/>
      <c r="B52" s="22"/>
      <c r="C52" s="13"/>
      <c r="D52" s="13"/>
      <c r="E52" s="14"/>
      <c r="F52" s="13"/>
      <c r="G52" s="13"/>
      <c r="H52" s="13"/>
      <c r="I52" s="13"/>
      <c r="J52" s="13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13"/>
      <c r="BJ52" s="13"/>
      <c r="BK52" s="13"/>
      <c r="BL52" s="46"/>
      <c r="BM52" s="46"/>
      <c r="BN52" s="46"/>
      <c r="BO52" s="46"/>
      <c r="BP52" s="46"/>
      <c r="BQ52" s="46"/>
      <c r="BR52" s="34"/>
      <c r="BS52" s="34"/>
      <c r="BT52" s="34"/>
      <c r="BU52" s="34"/>
      <c r="BV52" s="34"/>
      <c r="BW52" s="34"/>
      <c r="BX52" s="34"/>
      <c r="BY52" s="4"/>
    </row>
    <row r="53" spans="1:77">
      <c r="A53" s="57"/>
      <c r="B53" s="23"/>
      <c r="C53" s="13"/>
      <c r="D53" s="13"/>
      <c r="E53" s="14"/>
      <c r="F53" s="13"/>
      <c r="G53" s="13"/>
      <c r="H53" s="13"/>
      <c r="I53" s="13"/>
      <c r="J53" s="13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13"/>
      <c r="BJ53" s="13"/>
      <c r="BK53" s="13"/>
      <c r="BL53" s="46"/>
      <c r="BM53" s="46"/>
      <c r="BN53" s="46"/>
      <c r="BO53" s="46"/>
      <c r="BP53" s="46"/>
      <c r="BQ53" s="46"/>
      <c r="BR53" s="34"/>
      <c r="BS53" s="34"/>
      <c r="BT53" s="34"/>
      <c r="BU53" s="34"/>
      <c r="BV53" s="34"/>
      <c r="BW53" s="34"/>
      <c r="BX53" s="34"/>
      <c r="BY53" s="4"/>
    </row>
    <row r="54" spans="1:77">
      <c r="A54" s="57"/>
      <c r="B54" s="55"/>
      <c r="C54" s="13"/>
      <c r="D54" s="13"/>
      <c r="E54" s="14"/>
      <c r="F54" s="13"/>
      <c r="G54" s="13"/>
      <c r="H54" s="13"/>
      <c r="I54" s="13"/>
      <c r="J54" s="13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13"/>
      <c r="BJ54" s="13"/>
      <c r="BK54" s="13"/>
      <c r="BL54" s="46"/>
      <c r="BM54" s="46"/>
      <c r="BN54" s="46"/>
      <c r="BO54" s="46"/>
      <c r="BP54" s="46"/>
      <c r="BQ54" s="46"/>
      <c r="BR54" s="34"/>
      <c r="BS54" s="34"/>
      <c r="BT54" s="34"/>
      <c r="BU54" s="34"/>
      <c r="BV54" s="34"/>
      <c r="BW54" s="34"/>
      <c r="BX54" s="34"/>
      <c r="BY54" s="4"/>
    </row>
    <row r="55" spans="1:77">
      <c r="A55" s="57"/>
      <c r="B55" s="23"/>
      <c r="C55" s="13"/>
      <c r="D55" s="13"/>
      <c r="E55" s="14"/>
      <c r="F55" s="13"/>
      <c r="G55" s="13"/>
      <c r="H55" s="13"/>
      <c r="I55" s="13"/>
      <c r="J55" s="13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13"/>
      <c r="BJ55" s="13"/>
      <c r="BK55" s="13"/>
      <c r="BL55" s="46"/>
      <c r="BM55" s="46"/>
      <c r="BN55" s="46"/>
      <c r="BO55" s="46"/>
      <c r="BP55" s="46"/>
      <c r="BQ55" s="46"/>
      <c r="BR55" s="34"/>
      <c r="BS55" s="34"/>
      <c r="BT55" s="34"/>
      <c r="BU55" s="34"/>
      <c r="BV55" s="34"/>
      <c r="BW55" s="34"/>
      <c r="BX55" s="34"/>
      <c r="BY55" s="4"/>
    </row>
    <row r="56" spans="1:77">
      <c r="A56" s="57"/>
      <c r="B56" s="22"/>
      <c r="C56" s="13"/>
      <c r="D56" s="13"/>
      <c r="E56" s="14"/>
      <c r="F56" s="13"/>
      <c r="G56" s="13"/>
      <c r="H56" s="13"/>
      <c r="I56" s="13"/>
      <c r="J56" s="13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13"/>
      <c r="BJ56" s="13"/>
      <c r="BK56" s="13"/>
      <c r="BL56" s="46"/>
      <c r="BM56" s="46"/>
      <c r="BN56" s="46"/>
      <c r="BO56" s="46"/>
      <c r="BP56" s="46"/>
      <c r="BQ56" s="46"/>
      <c r="BR56" s="34"/>
      <c r="BS56" s="34"/>
      <c r="BT56" s="34"/>
      <c r="BU56" s="34"/>
      <c r="BV56" s="34"/>
      <c r="BW56" s="34"/>
      <c r="BX56" s="34"/>
      <c r="BY56" s="4"/>
    </row>
    <row r="57" spans="1:77">
      <c r="A57" s="57"/>
      <c r="B57" s="22"/>
      <c r="C57" s="13"/>
      <c r="D57" s="13"/>
      <c r="E57" s="14"/>
      <c r="F57" s="13"/>
      <c r="G57" s="13"/>
      <c r="H57" s="13"/>
      <c r="I57" s="13"/>
      <c r="J57" s="13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13"/>
      <c r="BJ57" s="13"/>
      <c r="BK57" s="13"/>
      <c r="BL57" s="46"/>
      <c r="BM57" s="46"/>
      <c r="BN57" s="46"/>
      <c r="BO57" s="46"/>
      <c r="BP57" s="46"/>
      <c r="BQ57" s="46"/>
      <c r="BR57" s="34"/>
      <c r="BS57" s="34"/>
      <c r="BT57" s="34"/>
      <c r="BU57" s="34"/>
      <c r="BV57" s="34"/>
      <c r="BW57" s="34"/>
      <c r="BX57" s="34"/>
      <c r="BY57" s="4"/>
    </row>
    <row r="58" spans="1:77">
      <c r="A58" s="57"/>
      <c r="B58" s="22"/>
      <c r="C58" s="13"/>
      <c r="D58" s="13"/>
      <c r="E58" s="14"/>
      <c r="F58" s="13"/>
      <c r="G58" s="13"/>
      <c r="H58" s="13"/>
      <c r="I58" s="13"/>
      <c r="J58" s="13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13"/>
      <c r="BJ58" s="13"/>
      <c r="BK58" s="13"/>
      <c r="BL58" s="46"/>
      <c r="BM58" s="46"/>
      <c r="BN58" s="46"/>
      <c r="BO58" s="46"/>
      <c r="BP58" s="46"/>
      <c r="BQ58" s="46"/>
      <c r="BR58" s="34"/>
      <c r="BS58" s="34"/>
      <c r="BT58" s="34"/>
      <c r="BU58" s="34"/>
      <c r="BV58" s="34"/>
      <c r="BW58" s="34"/>
      <c r="BX58" s="34"/>
      <c r="BY58" s="4"/>
    </row>
    <row r="59" spans="1:77">
      <c r="A59" s="57"/>
      <c r="B59" s="22"/>
      <c r="C59" s="13"/>
      <c r="D59" s="13"/>
      <c r="E59" s="14"/>
      <c r="F59" s="13"/>
      <c r="G59" s="13"/>
      <c r="H59" s="13"/>
      <c r="I59" s="13"/>
      <c r="J59" s="13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13"/>
      <c r="BJ59" s="13"/>
      <c r="BK59" s="13"/>
      <c r="BL59" s="46"/>
      <c r="BM59" s="46"/>
      <c r="BN59" s="46"/>
      <c r="BO59" s="46"/>
      <c r="BP59" s="46"/>
      <c r="BQ59" s="46"/>
      <c r="BR59" s="34"/>
      <c r="BS59" s="34"/>
      <c r="BT59" s="34"/>
      <c r="BU59" s="34"/>
      <c r="BV59" s="34"/>
      <c r="BW59" s="34"/>
      <c r="BX59" s="34"/>
      <c r="BY59" s="4"/>
    </row>
    <row r="60" spans="1:77">
      <c r="A60" s="57"/>
      <c r="B60" s="23"/>
      <c r="C60" s="13"/>
      <c r="D60" s="13"/>
      <c r="E60" s="14"/>
      <c r="F60" s="13"/>
      <c r="G60" s="13"/>
      <c r="H60" s="13"/>
      <c r="I60" s="13"/>
      <c r="J60" s="13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13"/>
      <c r="BJ60" s="13"/>
      <c r="BK60" s="13"/>
      <c r="BL60" s="46"/>
      <c r="BM60" s="46"/>
      <c r="BN60" s="46"/>
      <c r="BO60" s="46"/>
      <c r="BP60" s="46"/>
      <c r="BQ60" s="46"/>
      <c r="BR60" s="34"/>
      <c r="BS60" s="34"/>
      <c r="BT60" s="34"/>
      <c r="BU60" s="34"/>
      <c r="BV60" s="34"/>
      <c r="BW60" s="34"/>
      <c r="BX60" s="34"/>
      <c r="BY60" s="4"/>
    </row>
    <row r="61" spans="1:77">
      <c r="A61" s="57"/>
      <c r="B61" s="22"/>
      <c r="C61" s="13"/>
      <c r="D61" s="13"/>
      <c r="E61" s="14"/>
      <c r="F61" s="13"/>
      <c r="G61" s="13"/>
      <c r="H61" s="13"/>
      <c r="I61" s="13"/>
      <c r="J61" s="13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13"/>
      <c r="BJ61" s="13"/>
      <c r="BK61" s="13"/>
      <c r="BL61" s="46"/>
      <c r="BM61" s="46"/>
      <c r="BN61" s="46"/>
      <c r="BO61" s="46"/>
      <c r="BP61" s="46"/>
      <c r="BQ61" s="46"/>
      <c r="BR61" s="34"/>
      <c r="BS61" s="34"/>
      <c r="BT61" s="34"/>
      <c r="BU61" s="34"/>
      <c r="BV61" s="34"/>
      <c r="BW61" s="34"/>
      <c r="BX61" s="34"/>
      <c r="BY61" s="4"/>
    </row>
    <row r="62" spans="1:77">
      <c r="A62" s="57"/>
      <c r="B62" s="22"/>
      <c r="C62" s="13"/>
      <c r="D62" s="13"/>
      <c r="E62" s="14"/>
      <c r="F62" s="13"/>
      <c r="G62" s="13"/>
      <c r="H62" s="13"/>
      <c r="I62" s="13"/>
      <c r="J62" s="13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13"/>
      <c r="BJ62" s="13"/>
      <c r="BK62" s="13"/>
      <c r="BL62" s="46"/>
      <c r="BM62" s="46"/>
      <c r="BN62" s="46"/>
      <c r="BO62" s="46"/>
      <c r="BP62" s="46"/>
      <c r="BQ62" s="46"/>
      <c r="BR62" s="34"/>
      <c r="BS62" s="34"/>
      <c r="BT62" s="34"/>
      <c r="BU62" s="34"/>
      <c r="BV62" s="34"/>
      <c r="BW62" s="34"/>
      <c r="BX62" s="34"/>
      <c r="BY62" s="4"/>
    </row>
    <row r="63" spans="1:77">
      <c r="A63" s="57"/>
      <c r="B63" s="22"/>
      <c r="C63" s="13"/>
      <c r="D63" s="13"/>
      <c r="E63" s="14"/>
      <c r="F63" s="13"/>
      <c r="G63" s="13"/>
      <c r="H63" s="13"/>
      <c r="I63" s="13"/>
      <c r="J63" s="13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13"/>
      <c r="BJ63" s="13"/>
      <c r="BK63" s="13"/>
      <c r="BL63" s="46"/>
      <c r="BM63" s="46"/>
      <c r="BN63" s="46"/>
      <c r="BO63" s="46"/>
      <c r="BP63" s="46"/>
      <c r="BQ63" s="46"/>
      <c r="BR63" s="34"/>
      <c r="BS63" s="34"/>
      <c r="BT63" s="34"/>
      <c r="BU63" s="34"/>
      <c r="BV63" s="34"/>
      <c r="BW63" s="34"/>
      <c r="BX63" s="34"/>
      <c r="BY63" s="4"/>
    </row>
    <row r="64" spans="1:77">
      <c r="A64" s="57"/>
      <c r="B64" s="23"/>
      <c r="C64" s="13"/>
      <c r="D64" s="13"/>
      <c r="E64" s="14"/>
      <c r="F64" s="13"/>
      <c r="G64" s="13"/>
      <c r="H64" s="13"/>
      <c r="I64" s="13"/>
      <c r="J64" s="13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13"/>
      <c r="BJ64" s="13"/>
      <c r="BK64" s="13"/>
      <c r="BL64" s="46"/>
      <c r="BM64" s="46"/>
      <c r="BN64" s="46"/>
      <c r="BO64" s="46"/>
      <c r="BP64" s="46"/>
      <c r="BQ64" s="46"/>
      <c r="BR64" s="34"/>
      <c r="BS64" s="34"/>
      <c r="BT64" s="34"/>
      <c r="BU64" s="34"/>
      <c r="BV64" s="34"/>
      <c r="BW64" s="34"/>
      <c r="BX64" s="34"/>
      <c r="BY64" s="4"/>
    </row>
    <row r="65" spans="1:77">
      <c r="A65" s="57"/>
      <c r="B65" s="55"/>
      <c r="C65" s="13"/>
      <c r="D65" s="13"/>
      <c r="E65" s="14"/>
      <c r="F65" s="13"/>
      <c r="G65" s="13"/>
      <c r="H65" s="13"/>
      <c r="I65" s="13"/>
      <c r="J65" s="13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13"/>
      <c r="BJ65" s="13"/>
      <c r="BK65" s="13"/>
      <c r="BL65" s="46"/>
      <c r="BM65" s="46"/>
      <c r="BN65" s="46"/>
      <c r="BO65" s="46"/>
      <c r="BP65" s="46"/>
      <c r="BQ65" s="46"/>
      <c r="BR65" s="34"/>
      <c r="BS65" s="34"/>
      <c r="BT65" s="34"/>
      <c r="BU65" s="34"/>
      <c r="BV65" s="34"/>
      <c r="BW65" s="34"/>
      <c r="BX65" s="34"/>
      <c r="BY65" s="4"/>
    </row>
    <row r="66" spans="1:77">
      <c r="A66" s="57"/>
      <c r="B66" s="23"/>
      <c r="C66" s="13"/>
      <c r="D66" s="13"/>
      <c r="E66" s="14"/>
      <c r="F66" s="13"/>
      <c r="G66" s="13"/>
      <c r="H66" s="13"/>
      <c r="I66" s="13"/>
      <c r="J66" s="13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13"/>
      <c r="BJ66" s="13"/>
      <c r="BK66" s="13"/>
      <c r="BL66" s="46"/>
      <c r="BM66" s="46"/>
      <c r="BN66" s="46"/>
      <c r="BO66" s="46"/>
      <c r="BP66" s="46"/>
      <c r="BQ66" s="46"/>
      <c r="BR66" s="34"/>
      <c r="BS66" s="34"/>
      <c r="BT66" s="34"/>
      <c r="BU66" s="34"/>
      <c r="BV66" s="34"/>
      <c r="BW66" s="34"/>
      <c r="BX66" s="34"/>
      <c r="BY66" s="4"/>
    </row>
    <row r="67" spans="1:77">
      <c r="A67" s="57"/>
      <c r="B67" s="23"/>
      <c r="C67" s="13"/>
      <c r="D67" s="13"/>
      <c r="E67" s="14"/>
      <c r="F67" s="13"/>
      <c r="G67" s="13"/>
      <c r="H67" s="13"/>
      <c r="I67" s="13"/>
      <c r="J67" s="13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13"/>
      <c r="BJ67" s="13"/>
      <c r="BK67" s="13"/>
      <c r="BL67" s="46"/>
      <c r="BM67" s="46"/>
      <c r="BN67" s="46"/>
      <c r="BO67" s="46"/>
      <c r="BP67" s="46"/>
      <c r="BQ67" s="46"/>
      <c r="BR67" s="34"/>
      <c r="BS67" s="34"/>
      <c r="BT67" s="34"/>
      <c r="BU67" s="34"/>
      <c r="BV67" s="34"/>
      <c r="BW67" s="34"/>
      <c r="BX67" s="34"/>
      <c r="BY67" s="4"/>
    </row>
    <row r="68" spans="1:77">
      <c r="A68" s="57"/>
      <c r="B68" s="22"/>
      <c r="C68" s="13"/>
      <c r="D68" s="13"/>
      <c r="E68" s="14"/>
      <c r="F68" s="13"/>
      <c r="G68" s="13"/>
      <c r="H68" s="13"/>
      <c r="I68" s="13"/>
      <c r="J68" s="13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13"/>
      <c r="BJ68" s="13"/>
      <c r="BK68" s="13"/>
      <c r="BL68" s="46"/>
      <c r="BM68" s="46"/>
      <c r="BN68" s="46"/>
      <c r="BO68" s="46"/>
      <c r="BP68" s="46"/>
      <c r="BQ68" s="46"/>
      <c r="BR68" s="34"/>
      <c r="BS68" s="34"/>
      <c r="BT68" s="34"/>
      <c r="BU68" s="34"/>
      <c r="BV68" s="34"/>
      <c r="BW68" s="34"/>
      <c r="BX68" s="34"/>
      <c r="BY68" s="4"/>
    </row>
    <row r="69" spans="1:77">
      <c r="A69" s="57"/>
      <c r="B69" s="23"/>
      <c r="C69" s="13"/>
      <c r="D69" s="13"/>
      <c r="E69" s="14"/>
      <c r="F69" s="13"/>
      <c r="G69" s="13"/>
      <c r="H69" s="13"/>
      <c r="I69" s="13"/>
      <c r="J69" s="13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13"/>
      <c r="BJ69" s="13"/>
      <c r="BK69" s="13"/>
      <c r="BL69" s="46"/>
      <c r="BM69" s="46"/>
      <c r="BN69" s="46"/>
      <c r="BO69" s="46"/>
      <c r="BP69" s="46"/>
      <c r="BQ69" s="46"/>
      <c r="BR69" s="34"/>
      <c r="BS69" s="34"/>
      <c r="BT69" s="34"/>
      <c r="BU69" s="34"/>
      <c r="BV69" s="34"/>
      <c r="BW69" s="34"/>
      <c r="BX69" s="34"/>
      <c r="BY69" s="4"/>
    </row>
    <row r="70" spans="1:77">
      <c r="A70" s="57"/>
      <c r="B70" s="23"/>
      <c r="C70" s="13"/>
      <c r="D70" s="13"/>
      <c r="E70" s="14"/>
      <c r="F70" s="13"/>
      <c r="G70" s="13"/>
      <c r="H70" s="13"/>
      <c r="I70" s="13"/>
      <c r="J70" s="13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13"/>
      <c r="BJ70" s="13"/>
      <c r="BK70" s="13"/>
      <c r="BL70" s="46"/>
      <c r="BM70" s="46"/>
      <c r="BN70" s="46"/>
      <c r="BO70" s="46"/>
      <c r="BP70" s="46"/>
      <c r="BQ70" s="46"/>
      <c r="BR70" s="34"/>
      <c r="BS70" s="34"/>
      <c r="BT70" s="34"/>
      <c r="BU70" s="34"/>
      <c r="BV70" s="34"/>
      <c r="BW70" s="34"/>
      <c r="BX70" s="34"/>
      <c r="BY70" s="4"/>
    </row>
    <row r="71" spans="1:77">
      <c r="A71" s="57"/>
      <c r="B71" s="22"/>
      <c r="C71" s="13"/>
      <c r="D71" s="13"/>
      <c r="E71" s="14"/>
      <c r="F71" s="13"/>
      <c r="G71" s="13"/>
      <c r="H71" s="13"/>
      <c r="I71" s="13"/>
      <c r="J71" s="13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13"/>
      <c r="BJ71" s="13"/>
      <c r="BK71" s="13"/>
      <c r="BL71" s="46"/>
      <c r="BM71" s="46"/>
      <c r="BN71" s="46"/>
      <c r="BO71" s="46"/>
      <c r="BP71" s="46"/>
      <c r="BQ71" s="46"/>
      <c r="BR71" s="34"/>
      <c r="BS71" s="34"/>
      <c r="BT71" s="34"/>
      <c r="BU71" s="34"/>
      <c r="BV71" s="34"/>
      <c r="BW71" s="34"/>
      <c r="BX71" s="34"/>
      <c r="BY71" s="4"/>
    </row>
    <row r="72" spans="1:77">
      <c r="A72" s="57"/>
      <c r="B72" s="22"/>
      <c r="C72" s="13"/>
      <c r="D72" s="13"/>
      <c r="E72" s="14"/>
      <c r="F72" s="13"/>
      <c r="G72" s="13"/>
      <c r="H72" s="13"/>
      <c r="I72" s="13"/>
      <c r="J72" s="13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13"/>
      <c r="BJ72" s="13"/>
      <c r="BK72" s="13"/>
      <c r="BL72" s="46"/>
      <c r="BM72" s="46"/>
      <c r="BN72" s="46"/>
      <c r="BO72" s="46"/>
      <c r="BP72" s="46"/>
      <c r="BQ72" s="46"/>
      <c r="BR72" s="34"/>
      <c r="BS72" s="34"/>
      <c r="BT72" s="34"/>
      <c r="BU72" s="34"/>
      <c r="BV72" s="34"/>
      <c r="BW72" s="34"/>
      <c r="BX72" s="34"/>
      <c r="BY72" s="4"/>
    </row>
    <row r="73" spans="1:77">
      <c r="A73" s="57"/>
      <c r="B73" s="23"/>
      <c r="C73" s="13"/>
      <c r="D73" s="13"/>
      <c r="E73" s="14"/>
      <c r="F73" s="13"/>
      <c r="G73" s="13"/>
      <c r="H73" s="13"/>
      <c r="I73" s="13"/>
      <c r="J73" s="13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13"/>
      <c r="BJ73" s="13"/>
      <c r="BK73" s="13"/>
      <c r="BL73" s="46"/>
      <c r="BM73" s="46"/>
      <c r="BN73" s="46"/>
      <c r="BO73" s="46"/>
      <c r="BP73" s="46"/>
      <c r="BQ73" s="46"/>
      <c r="BR73" s="34"/>
      <c r="BS73" s="34"/>
      <c r="BT73" s="34"/>
      <c r="BU73" s="34"/>
      <c r="BV73" s="34"/>
      <c r="BW73" s="34"/>
      <c r="BX73" s="34"/>
      <c r="BY73" s="4"/>
    </row>
    <row r="74" spans="1:77">
      <c r="A74" s="57"/>
      <c r="B74" s="23"/>
      <c r="C74" s="13"/>
      <c r="D74" s="13"/>
      <c r="E74" s="14"/>
      <c r="F74" s="13"/>
      <c r="G74" s="13"/>
      <c r="H74" s="13"/>
      <c r="I74" s="13"/>
      <c r="J74" s="13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13"/>
      <c r="BJ74" s="13"/>
      <c r="BK74" s="13"/>
      <c r="BL74" s="46"/>
      <c r="BM74" s="46"/>
      <c r="BN74" s="46"/>
      <c r="BO74" s="46"/>
      <c r="BP74" s="46"/>
      <c r="BQ74" s="46"/>
      <c r="BR74" s="34"/>
      <c r="BS74" s="34"/>
      <c r="BT74" s="34"/>
      <c r="BU74" s="34"/>
      <c r="BV74" s="34"/>
      <c r="BW74" s="34"/>
      <c r="BX74" s="34"/>
      <c r="BY74" s="4"/>
    </row>
    <row r="75" spans="1:77">
      <c r="A75" s="57"/>
      <c r="B75" s="22"/>
      <c r="C75" s="13"/>
      <c r="D75" s="13"/>
      <c r="E75" s="14"/>
      <c r="F75" s="13"/>
      <c r="G75" s="13"/>
      <c r="H75" s="13"/>
      <c r="I75" s="13"/>
      <c r="J75" s="13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13"/>
      <c r="BJ75" s="13"/>
      <c r="BK75" s="13"/>
      <c r="BL75" s="46"/>
      <c r="BM75" s="46"/>
      <c r="BN75" s="46"/>
      <c r="BO75" s="46"/>
      <c r="BP75" s="46"/>
      <c r="BQ75" s="46"/>
      <c r="BR75" s="34"/>
      <c r="BS75" s="34"/>
      <c r="BT75" s="34"/>
      <c r="BU75" s="34"/>
      <c r="BV75" s="34"/>
      <c r="BW75" s="34"/>
      <c r="BX75" s="34"/>
      <c r="BY75" s="4"/>
    </row>
    <row r="76" spans="1:77">
      <c r="A76" s="57"/>
      <c r="B76" s="23"/>
      <c r="C76" s="13"/>
      <c r="D76" s="13"/>
      <c r="E76" s="14"/>
      <c r="F76" s="13"/>
      <c r="G76" s="13"/>
      <c r="H76" s="13"/>
      <c r="I76" s="13"/>
      <c r="J76" s="13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13"/>
      <c r="BJ76" s="13"/>
      <c r="BK76" s="13"/>
      <c r="BL76" s="46"/>
      <c r="BM76" s="46"/>
      <c r="BN76" s="46"/>
      <c r="BO76" s="46"/>
      <c r="BP76" s="46"/>
      <c r="BQ76" s="46"/>
      <c r="BR76" s="34"/>
      <c r="BS76" s="34"/>
      <c r="BT76" s="34"/>
      <c r="BU76" s="34"/>
      <c r="BV76" s="34"/>
      <c r="BW76" s="34"/>
      <c r="BX76" s="34"/>
      <c r="BY76" s="4"/>
    </row>
    <row r="77" spans="1:77">
      <c r="A77" s="57"/>
      <c r="B77" s="23"/>
      <c r="C77" s="13"/>
      <c r="D77" s="13"/>
      <c r="E77" s="14"/>
      <c r="F77" s="13"/>
      <c r="G77" s="13"/>
      <c r="H77" s="13"/>
      <c r="I77" s="13"/>
      <c r="J77" s="13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13"/>
      <c r="BJ77" s="13"/>
      <c r="BK77" s="13"/>
      <c r="BL77" s="46"/>
      <c r="BM77" s="46"/>
      <c r="BN77" s="46"/>
      <c r="BO77" s="46"/>
      <c r="BP77" s="46"/>
      <c r="BQ77" s="46"/>
      <c r="BR77" s="34"/>
      <c r="BS77" s="34"/>
      <c r="BT77" s="34"/>
      <c r="BU77" s="34"/>
      <c r="BV77" s="34"/>
      <c r="BW77" s="34"/>
      <c r="BX77" s="34"/>
      <c r="BY77" s="4"/>
    </row>
    <row r="78" spans="1:77">
      <c r="A78" s="57"/>
      <c r="B78" s="22"/>
      <c r="C78" s="13"/>
      <c r="D78" s="13"/>
      <c r="E78" s="14"/>
      <c r="F78" s="13"/>
      <c r="G78" s="13"/>
      <c r="H78" s="13"/>
      <c r="I78" s="13"/>
      <c r="J78" s="13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13"/>
      <c r="BJ78" s="13"/>
      <c r="BK78" s="13"/>
      <c r="BL78" s="46"/>
      <c r="BM78" s="46"/>
      <c r="BN78" s="46"/>
      <c r="BO78" s="46"/>
      <c r="BP78" s="46"/>
      <c r="BQ78" s="46"/>
      <c r="BR78" s="34"/>
      <c r="BS78" s="34"/>
      <c r="BT78" s="34"/>
      <c r="BU78" s="34"/>
      <c r="BV78" s="34"/>
      <c r="BW78" s="34"/>
      <c r="BX78" s="34"/>
      <c r="BY78" s="4"/>
    </row>
    <row r="79" spans="1:77">
      <c r="A79" s="57"/>
      <c r="B79" s="23"/>
      <c r="C79" s="13"/>
      <c r="D79" s="13"/>
      <c r="E79" s="14"/>
      <c r="F79" s="13"/>
      <c r="G79" s="13"/>
      <c r="H79" s="13"/>
      <c r="I79" s="13"/>
      <c r="J79" s="13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13"/>
      <c r="BJ79" s="13"/>
      <c r="BK79" s="13"/>
      <c r="BL79" s="46"/>
      <c r="BM79" s="46"/>
      <c r="BN79" s="46"/>
      <c r="BO79" s="46"/>
      <c r="BP79" s="46"/>
      <c r="BQ79" s="46"/>
      <c r="BR79" s="34"/>
      <c r="BS79" s="34"/>
      <c r="BT79" s="34"/>
      <c r="BU79" s="34"/>
      <c r="BV79" s="34"/>
      <c r="BW79" s="34"/>
      <c r="BX79" s="34"/>
      <c r="BY79" s="4"/>
    </row>
    <row r="80" spans="1:77">
      <c r="A80" s="57"/>
      <c r="B80" s="23"/>
      <c r="C80" s="13"/>
      <c r="D80" s="13"/>
      <c r="E80" s="14"/>
      <c r="F80" s="13"/>
      <c r="G80" s="13"/>
      <c r="H80" s="13"/>
      <c r="I80" s="13"/>
      <c r="J80" s="13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13"/>
      <c r="BJ80" s="13"/>
      <c r="BK80" s="13"/>
      <c r="BL80" s="46"/>
      <c r="BM80" s="46"/>
      <c r="BN80" s="46"/>
      <c r="BO80" s="46"/>
      <c r="BP80" s="46"/>
      <c r="BQ80" s="46"/>
      <c r="BR80" s="34"/>
      <c r="BS80" s="34"/>
      <c r="BT80" s="34"/>
      <c r="BU80" s="34"/>
      <c r="BV80" s="34"/>
      <c r="BW80" s="34"/>
      <c r="BX80" s="34"/>
      <c r="BY80" s="4"/>
    </row>
    <row r="81" spans="1:77">
      <c r="A81" s="57"/>
      <c r="B81" s="23"/>
      <c r="C81" s="13"/>
      <c r="D81" s="13"/>
      <c r="E81" s="14"/>
      <c r="F81" s="13"/>
      <c r="G81" s="13"/>
      <c r="H81" s="13"/>
      <c r="I81" s="13"/>
      <c r="J81" s="13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13"/>
      <c r="BJ81" s="13"/>
      <c r="BK81" s="13"/>
      <c r="BL81" s="46"/>
      <c r="BM81" s="46"/>
      <c r="BN81" s="46"/>
      <c r="BO81" s="46"/>
      <c r="BP81" s="46"/>
      <c r="BQ81" s="46"/>
      <c r="BR81" s="34"/>
      <c r="BS81" s="34"/>
      <c r="BT81" s="34"/>
      <c r="BU81" s="34"/>
      <c r="BV81" s="34"/>
      <c r="BW81" s="34"/>
      <c r="BX81" s="34"/>
      <c r="BY81" s="4"/>
    </row>
    <row r="82" spans="1:77">
      <c r="A82" s="57"/>
      <c r="B82" s="23"/>
      <c r="C82" s="13"/>
      <c r="D82" s="13"/>
      <c r="E82" s="14"/>
      <c r="F82" s="13"/>
      <c r="G82" s="13"/>
      <c r="H82" s="13"/>
      <c r="I82" s="13"/>
      <c r="J82" s="13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13"/>
      <c r="BJ82" s="13"/>
      <c r="BK82" s="13"/>
      <c r="BL82" s="46"/>
      <c r="BM82" s="46"/>
      <c r="BN82" s="46"/>
      <c r="BO82" s="46"/>
      <c r="BP82" s="46"/>
      <c r="BQ82" s="46"/>
      <c r="BR82" s="34"/>
      <c r="BS82" s="34"/>
      <c r="BT82" s="34"/>
      <c r="BU82" s="34"/>
      <c r="BV82" s="34"/>
      <c r="BW82" s="34"/>
      <c r="BX82" s="34"/>
      <c r="BY82" s="4"/>
    </row>
    <row r="83" spans="1:77">
      <c r="A83" s="57"/>
      <c r="B83" s="22"/>
      <c r="C83" s="13"/>
      <c r="D83" s="13"/>
      <c r="E83" s="14"/>
      <c r="F83" s="13"/>
      <c r="G83" s="13"/>
      <c r="H83" s="13"/>
      <c r="I83" s="13"/>
      <c r="J83" s="13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13"/>
      <c r="BJ83" s="13"/>
      <c r="BK83" s="13"/>
      <c r="BL83" s="46"/>
      <c r="BM83" s="46"/>
      <c r="BN83" s="46"/>
      <c r="BO83" s="46"/>
      <c r="BP83" s="46"/>
      <c r="BQ83" s="46"/>
      <c r="BR83" s="34"/>
      <c r="BS83" s="34"/>
      <c r="BT83" s="34"/>
      <c r="BU83" s="34"/>
      <c r="BV83" s="34"/>
      <c r="BW83" s="34"/>
      <c r="BX83" s="34"/>
      <c r="BY83" s="4"/>
    </row>
    <row r="84" spans="1:77">
      <c r="A84" s="57"/>
      <c r="B84" s="23"/>
      <c r="C84" s="13"/>
      <c r="D84" s="13"/>
      <c r="E84" s="14"/>
      <c r="F84" s="13"/>
      <c r="G84" s="13"/>
      <c r="H84" s="13"/>
      <c r="I84" s="13"/>
      <c r="J84" s="13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13"/>
      <c r="BJ84" s="13"/>
      <c r="BK84" s="13"/>
      <c r="BL84" s="46"/>
      <c r="BM84" s="46"/>
      <c r="BN84" s="46"/>
      <c r="BO84" s="46"/>
      <c r="BP84" s="46"/>
      <c r="BQ84" s="46"/>
      <c r="BR84" s="34"/>
      <c r="BS84" s="34"/>
      <c r="BT84" s="34"/>
      <c r="BU84" s="34"/>
      <c r="BV84" s="34"/>
      <c r="BW84" s="34"/>
      <c r="BX84" s="34"/>
      <c r="BY84" s="4"/>
    </row>
    <row r="85" spans="1:77">
      <c r="A85" s="57"/>
      <c r="B85" s="23"/>
      <c r="C85" s="13"/>
      <c r="D85" s="13"/>
      <c r="E85" s="14"/>
      <c r="F85" s="13"/>
      <c r="G85" s="13"/>
      <c r="H85" s="13"/>
      <c r="I85" s="13"/>
      <c r="J85" s="13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13"/>
      <c r="BJ85" s="13"/>
      <c r="BK85" s="13"/>
      <c r="BL85" s="46"/>
      <c r="BM85" s="46"/>
      <c r="BN85" s="46"/>
      <c r="BO85" s="46"/>
      <c r="BP85" s="46"/>
      <c r="BQ85" s="46"/>
      <c r="BR85" s="34"/>
      <c r="BS85" s="34"/>
      <c r="BT85" s="34"/>
      <c r="BU85" s="34"/>
      <c r="BV85" s="34"/>
      <c r="BW85" s="34"/>
      <c r="BX85" s="34"/>
      <c r="BY85" s="4"/>
    </row>
    <row r="86" spans="1:77">
      <c r="A86" s="57"/>
      <c r="B86" s="23"/>
      <c r="C86" s="13"/>
      <c r="D86" s="13"/>
      <c r="E86" s="14"/>
      <c r="F86" s="13"/>
      <c r="G86" s="13"/>
      <c r="H86" s="13"/>
      <c r="I86" s="13"/>
      <c r="J86" s="13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13"/>
      <c r="BJ86" s="13"/>
      <c r="BK86" s="13"/>
      <c r="BL86" s="46"/>
      <c r="BM86" s="46"/>
      <c r="BN86" s="46"/>
      <c r="BO86" s="46"/>
      <c r="BP86" s="46"/>
      <c r="BQ86" s="46"/>
      <c r="BR86" s="34"/>
      <c r="BS86" s="34"/>
      <c r="BT86" s="34"/>
      <c r="BU86" s="34"/>
      <c r="BV86" s="34"/>
      <c r="BW86" s="34"/>
      <c r="BX86" s="34"/>
      <c r="BY86" s="4"/>
    </row>
    <row r="87" spans="1:77">
      <c r="A87" s="57"/>
      <c r="B87" s="23"/>
      <c r="C87" s="13"/>
      <c r="D87" s="13"/>
      <c r="E87" s="14"/>
      <c r="F87" s="13"/>
      <c r="G87" s="13"/>
      <c r="H87" s="13"/>
      <c r="I87" s="13"/>
      <c r="J87" s="13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13"/>
      <c r="BJ87" s="13"/>
      <c r="BK87" s="13"/>
      <c r="BL87" s="46"/>
      <c r="BM87" s="46"/>
      <c r="BN87" s="46"/>
      <c r="BO87" s="46"/>
      <c r="BP87" s="46"/>
      <c r="BQ87" s="46"/>
      <c r="BR87" s="34"/>
      <c r="BS87" s="34"/>
      <c r="BT87" s="34"/>
      <c r="BU87" s="34"/>
      <c r="BV87" s="34"/>
      <c r="BW87" s="34"/>
      <c r="BX87" s="34"/>
      <c r="BY87" s="4"/>
    </row>
    <row r="88" spans="1:77">
      <c r="A88" s="57"/>
      <c r="B88" s="23"/>
      <c r="C88" s="13"/>
      <c r="D88" s="13"/>
      <c r="E88" s="14"/>
      <c r="F88" s="13"/>
      <c r="G88" s="13"/>
      <c r="H88" s="13"/>
      <c r="I88" s="13"/>
      <c r="J88" s="13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13"/>
      <c r="BJ88" s="13"/>
      <c r="BK88" s="13"/>
      <c r="BL88" s="46"/>
      <c r="BM88" s="46"/>
      <c r="BN88" s="46"/>
      <c r="BO88" s="46"/>
      <c r="BP88" s="46"/>
      <c r="BQ88" s="46"/>
      <c r="BR88" s="34"/>
      <c r="BS88" s="34"/>
      <c r="BT88" s="34"/>
      <c r="BU88" s="34"/>
      <c r="BV88" s="34"/>
      <c r="BW88" s="34"/>
      <c r="BX88" s="34"/>
      <c r="BY88" s="4"/>
    </row>
    <row r="89" spans="1:77">
      <c r="A89" s="57"/>
      <c r="B89" s="23"/>
      <c r="C89" s="13"/>
      <c r="D89" s="13"/>
      <c r="E89" s="14"/>
      <c r="F89" s="13"/>
      <c r="G89" s="13"/>
      <c r="H89" s="13"/>
      <c r="I89" s="13"/>
      <c r="J89" s="13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13"/>
      <c r="BJ89" s="13"/>
      <c r="BK89" s="13"/>
      <c r="BL89" s="46"/>
      <c r="BM89" s="46"/>
      <c r="BN89" s="46"/>
      <c r="BO89" s="46"/>
      <c r="BP89" s="46"/>
      <c r="BQ89" s="46"/>
      <c r="BR89" s="34"/>
      <c r="BS89" s="34"/>
      <c r="BT89" s="34"/>
      <c r="BU89" s="34"/>
      <c r="BV89" s="34"/>
      <c r="BW89" s="34"/>
      <c r="BX89" s="34"/>
      <c r="BY89" s="4"/>
    </row>
    <row r="90" spans="1:77">
      <c r="A90" s="57"/>
      <c r="B90" s="23"/>
      <c r="C90" s="13"/>
      <c r="D90" s="13"/>
      <c r="E90" s="14"/>
      <c r="F90" s="13"/>
      <c r="G90" s="13"/>
      <c r="H90" s="13"/>
      <c r="I90" s="13"/>
      <c r="J90" s="13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13"/>
      <c r="BJ90" s="13"/>
      <c r="BK90" s="13"/>
      <c r="BL90" s="46"/>
      <c r="BM90" s="46"/>
      <c r="BN90" s="46"/>
      <c r="BO90" s="46"/>
      <c r="BP90" s="46"/>
      <c r="BQ90" s="46"/>
      <c r="BR90" s="34"/>
      <c r="BS90" s="34"/>
      <c r="BT90" s="34"/>
      <c r="BU90" s="34"/>
      <c r="BV90" s="34"/>
      <c r="BW90" s="34"/>
      <c r="BX90" s="34"/>
      <c r="BY90" s="4"/>
    </row>
    <row r="91" spans="1:77">
      <c r="A91" s="57"/>
      <c r="B91" s="23"/>
      <c r="C91" s="13"/>
      <c r="D91" s="13"/>
      <c r="E91" s="14"/>
      <c r="F91" s="13"/>
      <c r="G91" s="13"/>
      <c r="H91" s="13"/>
      <c r="I91" s="13"/>
      <c r="J91" s="13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13"/>
      <c r="BJ91" s="13"/>
      <c r="BK91" s="13"/>
      <c r="BL91" s="46"/>
      <c r="BM91" s="46"/>
      <c r="BN91" s="46"/>
      <c r="BO91" s="46"/>
      <c r="BP91" s="46"/>
      <c r="BQ91" s="46"/>
      <c r="BR91" s="34"/>
      <c r="BS91" s="34"/>
      <c r="BT91" s="34"/>
      <c r="BU91" s="34"/>
      <c r="BV91" s="34"/>
      <c r="BW91" s="34"/>
      <c r="BX91" s="34"/>
      <c r="BY91" s="4"/>
    </row>
    <row r="92" spans="1:77">
      <c r="A92" s="1" t="s">
        <v>76</v>
      </c>
      <c r="B92" s="12"/>
      <c r="C92" s="13"/>
      <c r="D92" s="13"/>
      <c r="E92" s="14">
        <f>SUM(E2:E91)</f>
        <v>0</v>
      </c>
      <c r="F92" s="13"/>
      <c r="G92" s="13">
        <f t="shared" ref="G92:N92" si="0">SUM(G2:G91)</f>
        <v>0</v>
      </c>
      <c r="H92" s="13">
        <f t="shared" si="0"/>
        <v>0</v>
      </c>
      <c r="I92" s="13">
        <f t="shared" si="0"/>
        <v>0</v>
      </c>
      <c r="J92" s="13">
        <f t="shared" si="0"/>
        <v>0</v>
      </c>
      <c r="K92" s="34">
        <f t="shared" si="0"/>
        <v>0</v>
      </c>
      <c r="L92" s="34">
        <f t="shared" si="0"/>
        <v>0</v>
      </c>
      <c r="M92" s="34">
        <f t="shared" si="0"/>
        <v>0</v>
      </c>
      <c r="N92" s="34">
        <f t="shared" si="0"/>
        <v>0</v>
      </c>
      <c r="O92" s="34"/>
      <c r="P92" s="34">
        <f t="shared" ref="P92:AV92" si="1">SUM(P2:P91)</f>
        <v>0</v>
      </c>
      <c r="Q92" s="34">
        <f t="shared" si="1"/>
        <v>0</v>
      </c>
      <c r="R92" s="34">
        <f t="shared" si="1"/>
        <v>0</v>
      </c>
      <c r="S92" s="34">
        <f t="shared" si="1"/>
        <v>0</v>
      </c>
      <c r="T92" s="34">
        <f t="shared" si="1"/>
        <v>0</v>
      </c>
      <c r="U92" s="34">
        <f t="shared" si="1"/>
        <v>0</v>
      </c>
      <c r="V92" s="34"/>
      <c r="W92" s="34">
        <f t="shared" si="1"/>
        <v>0</v>
      </c>
      <c r="X92" s="3">
        <f t="shared" si="1"/>
        <v>0</v>
      </c>
      <c r="Y92" s="39">
        <f t="shared" si="1"/>
        <v>0</v>
      </c>
      <c r="Z92" s="39">
        <f t="shared" si="1"/>
        <v>0</v>
      </c>
      <c r="AA92" s="39">
        <f t="shared" si="1"/>
        <v>0</v>
      </c>
      <c r="AB92" s="39">
        <f t="shared" si="1"/>
        <v>0</v>
      </c>
      <c r="AC92" s="39">
        <f t="shared" si="1"/>
        <v>0</v>
      </c>
      <c r="AD92" s="39">
        <f t="shared" si="1"/>
        <v>0</v>
      </c>
      <c r="AE92" s="39">
        <f t="shared" si="1"/>
        <v>0</v>
      </c>
      <c r="AF92" s="39">
        <f t="shared" si="1"/>
        <v>0</v>
      </c>
      <c r="AG92" s="39">
        <f t="shared" si="1"/>
        <v>0</v>
      </c>
      <c r="AH92" s="39">
        <f t="shared" si="1"/>
        <v>0</v>
      </c>
      <c r="AI92" s="39">
        <f t="shared" si="1"/>
        <v>0</v>
      </c>
      <c r="AJ92" s="39">
        <f t="shared" si="1"/>
        <v>0</v>
      </c>
      <c r="AK92" s="39">
        <f t="shared" si="1"/>
        <v>0</v>
      </c>
      <c r="AL92" s="39">
        <f t="shared" si="1"/>
        <v>0</v>
      </c>
      <c r="AM92" s="28">
        <f t="shared" si="1"/>
        <v>0</v>
      </c>
      <c r="AN92" s="28">
        <f t="shared" si="1"/>
        <v>0</v>
      </c>
      <c r="AO92" s="28">
        <f t="shared" si="1"/>
        <v>0</v>
      </c>
      <c r="AP92" s="28">
        <f t="shared" si="1"/>
        <v>0</v>
      </c>
      <c r="AQ92" s="28">
        <f t="shared" si="1"/>
        <v>0</v>
      </c>
      <c r="AR92" s="28">
        <f t="shared" si="1"/>
        <v>0</v>
      </c>
      <c r="AS92" s="28">
        <f t="shared" si="1"/>
        <v>0</v>
      </c>
      <c r="AT92" s="28">
        <f t="shared" si="1"/>
        <v>0</v>
      </c>
      <c r="AU92" s="28">
        <f t="shared" si="1"/>
        <v>0</v>
      </c>
      <c r="AV92" s="28">
        <f t="shared" si="1"/>
        <v>0</v>
      </c>
      <c r="AW92" s="28">
        <f t="shared" ref="AW92:BW92" si="2">SUM(AW2:AW91)</f>
        <v>0</v>
      </c>
      <c r="AX92" s="43">
        <f t="shared" si="2"/>
        <v>0</v>
      </c>
      <c r="AY92" s="43">
        <f t="shared" si="2"/>
        <v>0</v>
      </c>
      <c r="AZ92" s="43">
        <f t="shared" si="2"/>
        <v>0</v>
      </c>
      <c r="BA92" s="43">
        <f t="shared" si="2"/>
        <v>0</v>
      </c>
      <c r="BB92" s="43">
        <f t="shared" si="2"/>
        <v>0</v>
      </c>
      <c r="BC92" s="43">
        <f t="shared" si="2"/>
        <v>0</v>
      </c>
      <c r="BD92" s="43">
        <f t="shared" si="2"/>
        <v>0</v>
      </c>
      <c r="BE92" s="43">
        <f t="shared" si="2"/>
        <v>0</v>
      </c>
      <c r="BF92" s="43">
        <f t="shared" si="2"/>
        <v>0</v>
      </c>
      <c r="BG92" s="43">
        <f t="shared" si="2"/>
        <v>0</v>
      </c>
      <c r="BH92" s="43">
        <f t="shared" si="2"/>
        <v>0</v>
      </c>
      <c r="BI92" s="13">
        <f t="shared" si="2"/>
        <v>0</v>
      </c>
      <c r="BJ92" s="13">
        <f t="shared" si="2"/>
        <v>0</v>
      </c>
      <c r="BK92" s="13">
        <f t="shared" si="2"/>
        <v>0</v>
      </c>
      <c r="BL92" s="46">
        <f t="shared" si="2"/>
        <v>0</v>
      </c>
      <c r="BM92" s="46">
        <f t="shared" si="2"/>
        <v>0</v>
      </c>
      <c r="BN92" s="46">
        <f t="shared" si="2"/>
        <v>0</v>
      </c>
      <c r="BO92" s="46">
        <f t="shared" si="2"/>
        <v>0</v>
      </c>
      <c r="BP92" s="46">
        <f t="shared" si="2"/>
        <v>0</v>
      </c>
      <c r="BQ92" s="46">
        <f t="shared" si="2"/>
        <v>0</v>
      </c>
      <c r="BR92" s="34">
        <f t="shared" si="2"/>
        <v>0</v>
      </c>
      <c r="BS92" s="34">
        <f t="shared" si="2"/>
        <v>0</v>
      </c>
      <c r="BT92" s="34">
        <f t="shared" si="2"/>
        <v>0</v>
      </c>
      <c r="BU92" s="34">
        <f t="shared" si="2"/>
        <v>0</v>
      </c>
      <c r="BV92" s="34">
        <f t="shared" si="2"/>
        <v>0</v>
      </c>
      <c r="BW92" s="34">
        <f t="shared" si="2"/>
        <v>0</v>
      </c>
      <c r="BX92" s="34"/>
      <c r="BY92" s="4"/>
    </row>
    <row r="93" spans="1:77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18"/>
      <c r="BJ93" s="18"/>
      <c r="BK93" s="18"/>
      <c r="BL93" s="47"/>
      <c r="BM93" s="47"/>
      <c r="BN93" s="47"/>
      <c r="BO93" s="47"/>
      <c r="BP93" s="47"/>
      <c r="BQ93" s="47"/>
      <c r="BR93" s="35"/>
      <c r="BS93" s="35"/>
      <c r="BT93" s="35"/>
      <c r="BU93" s="35"/>
      <c r="BV93" s="35"/>
      <c r="BW93" s="35"/>
      <c r="BX93" s="35"/>
    </row>
    <row r="94" spans="1:77" ht="159.6">
      <c r="A94" s="2" t="s">
        <v>77</v>
      </c>
      <c r="B94" s="11" t="s">
        <v>1</v>
      </c>
      <c r="C94" s="11" t="s">
        <v>2</v>
      </c>
      <c r="D94" s="11" t="s">
        <v>3</v>
      </c>
      <c r="E94" s="11" t="s">
        <v>4</v>
      </c>
      <c r="F94" s="11" t="s">
        <v>5</v>
      </c>
      <c r="G94" s="11" t="s">
        <v>6</v>
      </c>
      <c r="H94" s="11" t="s">
        <v>7</v>
      </c>
      <c r="I94" s="11" t="s">
        <v>8</v>
      </c>
      <c r="J94" s="11" t="s">
        <v>78</v>
      </c>
      <c r="K94" s="33" t="s">
        <v>10</v>
      </c>
      <c r="L94" s="33" t="s">
        <v>11</v>
      </c>
      <c r="M94" s="33" t="s">
        <v>12</v>
      </c>
      <c r="N94" s="33" t="s">
        <v>13</v>
      </c>
      <c r="O94" s="33" t="s">
        <v>14</v>
      </c>
      <c r="P94" s="33" t="s">
        <v>15</v>
      </c>
      <c r="Q94" s="33" t="s">
        <v>16</v>
      </c>
      <c r="R94" s="33" t="s">
        <v>17</v>
      </c>
      <c r="S94" s="33" t="s">
        <v>18</v>
      </c>
      <c r="T94" s="33" t="s">
        <v>79</v>
      </c>
      <c r="U94" s="33" t="s">
        <v>20</v>
      </c>
      <c r="V94" s="33" t="s">
        <v>21</v>
      </c>
      <c r="W94" s="33" t="s">
        <v>22</v>
      </c>
      <c r="X94" s="9" t="s">
        <v>80</v>
      </c>
      <c r="Y94" s="38" t="s">
        <v>24</v>
      </c>
      <c r="Z94" s="38" t="s">
        <v>25</v>
      </c>
      <c r="AA94" s="38" t="s">
        <v>26</v>
      </c>
      <c r="AB94" s="38" t="s">
        <v>81</v>
      </c>
      <c r="AC94" s="38" t="s">
        <v>28</v>
      </c>
      <c r="AD94" s="38" t="s">
        <v>29</v>
      </c>
      <c r="AE94" s="38" t="s">
        <v>30</v>
      </c>
      <c r="AF94" s="38" t="s">
        <v>31</v>
      </c>
      <c r="AG94" s="38" t="s">
        <v>32</v>
      </c>
      <c r="AH94" s="38" t="s">
        <v>33</v>
      </c>
      <c r="AI94" s="38" t="s">
        <v>34</v>
      </c>
      <c r="AJ94" s="38" t="s">
        <v>35</v>
      </c>
      <c r="AK94" s="38" t="s">
        <v>36</v>
      </c>
      <c r="AL94" s="38" t="s">
        <v>37</v>
      </c>
      <c r="AM94" s="27" t="s">
        <v>38</v>
      </c>
      <c r="AN94" s="27" t="s">
        <v>39</v>
      </c>
      <c r="AO94" s="27" t="s">
        <v>40</v>
      </c>
      <c r="AP94" s="27" t="s">
        <v>41</v>
      </c>
      <c r="AQ94" s="27" t="s">
        <v>42</v>
      </c>
      <c r="AR94" s="27" t="s">
        <v>43</v>
      </c>
      <c r="AS94" s="27" t="s">
        <v>44</v>
      </c>
      <c r="AT94" s="27" t="s">
        <v>45</v>
      </c>
      <c r="AU94" s="27" t="s">
        <v>46</v>
      </c>
      <c r="AV94" s="27" t="s">
        <v>47</v>
      </c>
      <c r="AW94" s="27" t="s">
        <v>37</v>
      </c>
      <c r="AX94" s="42" t="s">
        <v>48</v>
      </c>
      <c r="AY94" s="42" t="s">
        <v>49</v>
      </c>
      <c r="AZ94" s="42" t="s">
        <v>50</v>
      </c>
      <c r="BA94" s="42" t="s">
        <v>51</v>
      </c>
      <c r="BB94" s="42" t="s">
        <v>52</v>
      </c>
      <c r="BC94" s="42" t="s">
        <v>53</v>
      </c>
      <c r="BD94" s="42" t="s">
        <v>54</v>
      </c>
      <c r="BE94" s="42" t="s">
        <v>55</v>
      </c>
      <c r="BF94" s="42" t="s">
        <v>56</v>
      </c>
      <c r="BG94" s="42" t="s">
        <v>57</v>
      </c>
      <c r="BH94" s="42" t="s">
        <v>58</v>
      </c>
      <c r="BI94" s="11" t="s">
        <v>28</v>
      </c>
      <c r="BJ94" s="11" t="s">
        <v>59</v>
      </c>
      <c r="BK94" s="11" t="s">
        <v>60</v>
      </c>
      <c r="BL94" s="32" t="s">
        <v>61</v>
      </c>
      <c r="BM94" s="32" t="s">
        <v>62</v>
      </c>
      <c r="BN94" s="32" t="s">
        <v>63</v>
      </c>
      <c r="BO94" s="32" t="s">
        <v>64</v>
      </c>
      <c r="BP94" s="32" t="s">
        <v>65</v>
      </c>
      <c r="BQ94" s="32" t="s">
        <v>66</v>
      </c>
      <c r="BR94" s="33" t="s">
        <v>67</v>
      </c>
      <c r="BS94" s="33" t="s">
        <v>68</v>
      </c>
      <c r="BT94" s="33" t="s">
        <v>69</v>
      </c>
      <c r="BU94" s="33" t="s">
        <v>70</v>
      </c>
      <c r="BV94" s="33" t="s">
        <v>71</v>
      </c>
      <c r="BW94" s="33" t="s">
        <v>82</v>
      </c>
      <c r="BX94" s="33" t="s">
        <v>73</v>
      </c>
      <c r="BY94" s="10" t="s">
        <v>74</v>
      </c>
    </row>
    <row r="95" spans="1:77">
      <c r="A95" s="57" t="s">
        <v>83</v>
      </c>
      <c r="B95" s="25"/>
      <c r="C95" s="13"/>
      <c r="D95" s="13"/>
      <c r="E95" s="14"/>
      <c r="F95" s="13"/>
      <c r="G95" s="13"/>
      <c r="H95" s="13"/>
      <c r="I95" s="13"/>
      <c r="J95" s="13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13"/>
      <c r="BJ95" s="13"/>
      <c r="BK95" s="13"/>
      <c r="BL95" s="46"/>
      <c r="BM95" s="46"/>
      <c r="BN95" s="46"/>
      <c r="BO95" s="46"/>
      <c r="BP95" s="46"/>
      <c r="BQ95" s="46"/>
      <c r="BR95" s="34"/>
      <c r="BS95" s="34"/>
      <c r="BT95" s="34"/>
      <c r="BU95" s="34"/>
      <c r="BV95" s="34"/>
      <c r="BW95" s="34"/>
      <c r="BX95" s="34"/>
      <c r="BY95" s="4"/>
    </row>
    <row r="96" spans="1:77">
      <c r="A96" s="57"/>
      <c r="B96" s="13"/>
      <c r="C96" s="13"/>
      <c r="D96" s="13"/>
      <c r="E96" s="14"/>
      <c r="F96" s="13"/>
      <c r="G96" s="13"/>
      <c r="H96" s="13"/>
      <c r="I96" s="13"/>
      <c r="J96" s="13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13"/>
      <c r="BJ96" s="13"/>
      <c r="BK96" s="13"/>
      <c r="BL96" s="46"/>
      <c r="BM96" s="46"/>
      <c r="BN96" s="46"/>
      <c r="BO96" s="46"/>
      <c r="BP96" s="46"/>
      <c r="BQ96" s="46"/>
      <c r="BR96" s="34"/>
      <c r="BS96" s="34"/>
      <c r="BT96" s="34"/>
      <c r="BU96" s="34"/>
      <c r="BV96" s="34"/>
      <c r="BW96" s="34"/>
      <c r="BX96" s="34"/>
      <c r="BY96" s="4"/>
    </row>
    <row r="97" spans="1:77">
      <c r="A97" s="57"/>
      <c r="B97" s="13"/>
      <c r="C97" s="13"/>
      <c r="D97" s="13"/>
      <c r="E97" s="14"/>
      <c r="F97" s="13"/>
      <c r="G97" s="13"/>
      <c r="H97" s="13"/>
      <c r="I97" s="13"/>
      <c r="J97" s="13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13"/>
      <c r="BJ97" s="13"/>
      <c r="BK97" s="13"/>
      <c r="BL97" s="46"/>
      <c r="BM97" s="46"/>
      <c r="BN97" s="46"/>
      <c r="BO97" s="46"/>
      <c r="BP97" s="46"/>
      <c r="BQ97" s="46"/>
      <c r="BR97" s="34"/>
      <c r="BS97" s="34"/>
      <c r="BT97" s="34"/>
      <c r="BU97" s="34"/>
      <c r="BV97" s="34"/>
      <c r="BW97" s="34"/>
      <c r="BX97" s="34"/>
      <c r="BY97" s="4"/>
    </row>
    <row r="98" spans="1:77">
      <c r="A98" s="57"/>
      <c r="B98" s="12"/>
      <c r="C98" s="13"/>
      <c r="D98" s="13"/>
      <c r="E98" s="14"/>
      <c r="F98" s="13"/>
      <c r="G98" s="13"/>
      <c r="H98" s="13"/>
      <c r="I98" s="13"/>
      <c r="J98" s="13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13"/>
      <c r="BJ98" s="13"/>
      <c r="BK98" s="13"/>
      <c r="BL98" s="46"/>
      <c r="BM98" s="46"/>
      <c r="BN98" s="46"/>
      <c r="BO98" s="46"/>
      <c r="BP98" s="46"/>
      <c r="BQ98" s="46"/>
      <c r="BR98" s="34"/>
      <c r="BS98" s="34"/>
      <c r="BT98" s="34"/>
      <c r="BU98" s="34"/>
      <c r="BV98" s="34"/>
      <c r="BW98" s="34"/>
      <c r="BX98" s="34"/>
      <c r="BY98" s="4"/>
    </row>
    <row r="99" spans="1:77">
      <c r="A99" s="57"/>
      <c r="B99" s="13"/>
      <c r="C99" s="13"/>
      <c r="D99" s="13"/>
      <c r="E99" s="14"/>
      <c r="F99" s="13"/>
      <c r="G99" s="13"/>
      <c r="H99" s="13"/>
      <c r="I99" s="13"/>
      <c r="J99" s="13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13"/>
      <c r="BJ99" s="13"/>
      <c r="BK99" s="13"/>
      <c r="BL99" s="46"/>
      <c r="BM99" s="46"/>
      <c r="BN99" s="46"/>
      <c r="BO99" s="46"/>
      <c r="BP99" s="46"/>
      <c r="BQ99" s="46"/>
      <c r="BR99" s="34"/>
      <c r="BS99" s="34"/>
      <c r="BT99" s="34"/>
      <c r="BU99" s="34"/>
      <c r="BV99" s="34"/>
      <c r="BW99" s="34"/>
      <c r="BX99" s="34"/>
      <c r="BY99" s="4"/>
    </row>
    <row r="100" spans="1:77">
      <c r="A100" s="57"/>
      <c r="B100" s="13"/>
      <c r="C100" s="13"/>
      <c r="D100" s="13"/>
      <c r="E100" s="14"/>
      <c r="F100" s="13"/>
      <c r="G100" s="13"/>
      <c r="H100" s="13"/>
      <c r="I100" s="13"/>
      <c r="J100" s="13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13"/>
      <c r="BJ100" s="13"/>
      <c r="BK100" s="13"/>
      <c r="BL100" s="46"/>
      <c r="BM100" s="46"/>
      <c r="BN100" s="46"/>
      <c r="BO100" s="46"/>
      <c r="BP100" s="46"/>
      <c r="BQ100" s="46"/>
      <c r="BR100" s="34"/>
      <c r="BS100" s="34"/>
      <c r="BT100" s="34"/>
      <c r="BU100" s="34"/>
      <c r="BV100" s="34"/>
      <c r="BW100" s="34"/>
      <c r="BX100" s="34"/>
      <c r="BY100" s="4"/>
    </row>
    <row r="101" spans="1:77">
      <c r="A101" s="57"/>
      <c r="B101" s="12"/>
      <c r="C101" s="13"/>
      <c r="D101" s="13"/>
      <c r="E101" s="14"/>
      <c r="F101" s="13"/>
      <c r="G101" s="13"/>
      <c r="H101" s="13"/>
      <c r="I101" s="13"/>
      <c r="J101" s="13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13"/>
      <c r="BJ101" s="13"/>
      <c r="BK101" s="13"/>
      <c r="BL101" s="46"/>
      <c r="BM101" s="46"/>
      <c r="BN101" s="46"/>
      <c r="BO101" s="46"/>
      <c r="BP101" s="46"/>
      <c r="BQ101" s="46"/>
      <c r="BR101" s="34"/>
      <c r="BS101" s="34"/>
      <c r="BT101" s="34"/>
      <c r="BU101" s="34"/>
      <c r="BV101" s="34"/>
      <c r="BW101" s="34"/>
      <c r="BX101" s="34"/>
      <c r="BY101" s="4"/>
    </row>
    <row r="102" spans="1:77">
      <c r="A102" s="57"/>
      <c r="B102" s="13"/>
      <c r="C102" s="13"/>
      <c r="D102" s="13"/>
      <c r="E102" s="14"/>
      <c r="F102" s="13"/>
      <c r="G102" s="13"/>
      <c r="H102" s="13"/>
      <c r="I102" s="13"/>
      <c r="J102" s="13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13"/>
      <c r="BJ102" s="13"/>
      <c r="BK102" s="13"/>
      <c r="BL102" s="46"/>
      <c r="BM102" s="46"/>
      <c r="BN102" s="46"/>
      <c r="BO102" s="46"/>
      <c r="BP102" s="46"/>
      <c r="BQ102" s="46"/>
      <c r="BR102" s="34"/>
      <c r="BS102" s="34"/>
      <c r="BT102" s="34"/>
      <c r="BU102" s="34"/>
      <c r="BV102" s="34"/>
      <c r="BW102" s="34"/>
      <c r="BX102" s="34"/>
      <c r="BY102" s="4"/>
    </row>
    <row r="103" spans="1:77">
      <c r="A103" s="57"/>
      <c r="B103" s="12"/>
      <c r="C103" s="13"/>
      <c r="D103" s="13"/>
      <c r="E103" s="14"/>
      <c r="F103" s="13"/>
      <c r="G103" s="13"/>
      <c r="H103" s="13"/>
      <c r="I103" s="13"/>
      <c r="J103" s="13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13"/>
      <c r="BJ103" s="13"/>
      <c r="BK103" s="13"/>
      <c r="BL103" s="46"/>
      <c r="BM103" s="46"/>
      <c r="BN103" s="46"/>
      <c r="BO103" s="46"/>
      <c r="BP103" s="46"/>
      <c r="BQ103" s="46"/>
      <c r="BR103" s="34"/>
      <c r="BS103" s="34"/>
      <c r="BT103" s="34"/>
      <c r="BU103" s="34"/>
      <c r="BV103" s="34"/>
      <c r="BW103" s="34"/>
      <c r="BX103" s="34"/>
      <c r="BY103" s="4"/>
    </row>
    <row r="104" spans="1:77">
      <c r="A104" s="57"/>
      <c r="B104" s="15"/>
      <c r="C104" s="13"/>
      <c r="D104" s="13"/>
      <c r="E104" s="14"/>
      <c r="F104" s="13"/>
      <c r="G104" s="13"/>
      <c r="H104" s="13"/>
      <c r="I104" s="13"/>
      <c r="J104" s="13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13"/>
      <c r="BJ104" s="13"/>
      <c r="BK104" s="13"/>
      <c r="BL104" s="46"/>
      <c r="BM104" s="46"/>
      <c r="BN104" s="46"/>
      <c r="BO104" s="46"/>
      <c r="BP104" s="46"/>
      <c r="BQ104" s="46"/>
      <c r="BR104" s="34"/>
      <c r="BS104" s="34"/>
      <c r="BT104" s="34"/>
      <c r="BU104" s="34"/>
      <c r="BV104" s="34"/>
      <c r="BW104" s="34"/>
      <c r="BX104" s="34"/>
      <c r="BY104" s="4"/>
    </row>
    <row r="105" spans="1:77">
      <c r="A105" s="57"/>
      <c r="B105" s="12"/>
      <c r="C105" s="13"/>
      <c r="D105" s="13"/>
      <c r="E105" s="14"/>
      <c r="F105" s="13"/>
      <c r="G105" s="13"/>
      <c r="H105" s="13"/>
      <c r="I105" s="13"/>
      <c r="J105" s="13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13"/>
      <c r="BJ105" s="13"/>
      <c r="BK105" s="13"/>
      <c r="BL105" s="46"/>
      <c r="BM105" s="46"/>
      <c r="BN105" s="46"/>
      <c r="BO105" s="46"/>
      <c r="BP105" s="46"/>
      <c r="BQ105" s="46"/>
      <c r="BR105" s="34"/>
      <c r="BS105" s="34"/>
      <c r="BT105" s="34"/>
      <c r="BU105" s="34"/>
      <c r="BV105" s="34"/>
      <c r="BW105" s="34"/>
      <c r="BX105" s="34"/>
      <c r="BY105" s="4"/>
    </row>
    <row r="106" spans="1:77">
      <c r="A106" s="57"/>
      <c r="B106" s="13"/>
      <c r="C106" s="13"/>
      <c r="D106" s="13"/>
      <c r="E106" s="14"/>
      <c r="F106" s="13"/>
      <c r="G106" s="13"/>
      <c r="H106" s="13"/>
      <c r="I106" s="13"/>
      <c r="J106" s="13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13"/>
      <c r="BJ106" s="13"/>
      <c r="BK106" s="13"/>
      <c r="BL106" s="46"/>
      <c r="BM106" s="46"/>
      <c r="BN106" s="46"/>
      <c r="BO106" s="46"/>
      <c r="BP106" s="46"/>
      <c r="BQ106" s="46"/>
      <c r="BR106" s="34"/>
      <c r="BS106" s="34"/>
      <c r="BT106" s="34"/>
      <c r="BU106" s="34"/>
      <c r="BV106" s="34"/>
      <c r="BW106" s="34"/>
      <c r="BX106" s="34"/>
      <c r="BY106" s="4"/>
    </row>
    <row r="107" spans="1:77">
      <c r="A107" s="57"/>
      <c r="B107" s="12"/>
      <c r="C107" s="13"/>
      <c r="D107" s="13"/>
      <c r="E107" s="14"/>
      <c r="F107" s="13"/>
      <c r="G107" s="13"/>
      <c r="H107" s="13"/>
      <c r="I107" s="13"/>
      <c r="J107" s="13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13"/>
      <c r="BJ107" s="13"/>
      <c r="BK107" s="13"/>
      <c r="BL107" s="46"/>
      <c r="BM107" s="46"/>
      <c r="BN107" s="46"/>
      <c r="BO107" s="46"/>
      <c r="BP107" s="46"/>
      <c r="BQ107" s="46"/>
      <c r="BR107" s="34"/>
      <c r="BS107" s="34"/>
      <c r="BT107" s="34"/>
      <c r="BU107" s="34"/>
      <c r="BV107" s="34"/>
      <c r="BW107" s="34"/>
      <c r="BX107" s="34"/>
      <c r="BY107" s="4"/>
    </row>
    <row r="108" spans="1:77">
      <c r="A108" s="57"/>
      <c r="B108" s="13"/>
      <c r="C108" s="13"/>
      <c r="D108" s="13"/>
      <c r="E108" s="14"/>
      <c r="F108" s="13"/>
      <c r="G108" s="13"/>
      <c r="H108" s="13"/>
      <c r="I108" s="13"/>
      <c r="J108" s="13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13"/>
      <c r="BJ108" s="13"/>
      <c r="BK108" s="13"/>
      <c r="BL108" s="46"/>
      <c r="BM108" s="46"/>
      <c r="BN108" s="46"/>
      <c r="BO108" s="46"/>
      <c r="BP108" s="46"/>
      <c r="BQ108" s="46"/>
      <c r="BR108" s="34"/>
      <c r="BS108" s="34"/>
      <c r="BT108" s="34"/>
      <c r="BU108" s="34"/>
      <c r="BV108" s="34"/>
      <c r="BW108" s="34"/>
      <c r="BX108" s="34"/>
      <c r="BY108" s="4"/>
    </row>
    <row r="109" spans="1:77">
      <c r="A109" s="57"/>
      <c r="B109" s="13"/>
      <c r="C109" s="13"/>
      <c r="D109" s="13"/>
      <c r="E109" s="14"/>
      <c r="F109" s="13"/>
      <c r="G109" s="13"/>
      <c r="H109" s="13"/>
      <c r="I109" s="13"/>
      <c r="J109" s="13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13"/>
      <c r="BJ109" s="13"/>
      <c r="BK109" s="13"/>
      <c r="BL109" s="46"/>
      <c r="BM109" s="46"/>
      <c r="BN109" s="46"/>
      <c r="BO109" s="46"/>
      <c r="BP109" s="46"/>
      <c r="BQ109" s="46"/>
      <c r="BR109" s="34"/>
      <c r="BS109" s="34"/>
      <c r="BT109" s="34"/>
      <c r="BU109" s="34"/>
      <c r="BV109" s="34"/>
      <c r="BW109" s="34"/>
      <c r="BX109" s="34"/>
      <c r="BY109" s="4"/>
    </row>
    <row r="110" spans="1:77">
      <c r="A110" s="57"/>
      <c r="B110" s="13"/>
      <c r="C110" s="13"/>
      <c r="D110" s="13"/>
      <c r="E110" s="14"/>
      <c r="F110" s="13"/>
      <c r="G110" s="13"/>
      <c r="H110" s="13"/>
      <c r="I110" s="13"/>
      <c r="J110" s="13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13"/>
      <c r="BJ110" s="13"/>
      <c r="BK110" s="13"/>
      <c r="BL110" s="46"/>
      <c r="BM110" s="46"/>
      <c r="BN110" s="46"/>
      <c r="BO110" s="46"/>
      <c r="BP110" s="46"/>
      <c r="BQ110" s="46"/>
      <c r="BR110" s="34"/>
      <c r="BS110" s="34"/>
      <c r="BT110" s="34"/>
      <c r="BU110" s="34"/>
      <c r="BV110" s="34"/>
      <c r="BW110" s="34"/>
      <c r="BX110" s="34"/>
      <c r="BY110" s="4"/>
    </row>
    <row r="111" spans="1:77">
      <c r="A111" s="57"/>
      <c r="B111" s="12"/>
      <c r="C111" s="13"/>
      <c r="D111" s="13"/>
      <c r="E111" s="14"/>
      <c r="F111" s="13"/>
      <c r="G111" s="13"/>
      <c r="H111" s="13"/>
      <c r="I111" s="13"/>
      <c r="J111" s="13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13"/>
      <c r="BJ111" s="13"/>
      <c r="BK111" s="13"/>
      <c r="BL111" s="46"/>
      <c r="BM111" s="46"/>
      <c r="BN111" s="46"/>
      <c r="BO111" s="46"/>
      <c r="BP111" s="46"/>
      <c r="BQ111" s="46"/>
      <c r="BR111" s="34"/>
      <c r="BS111" s="34"/>
      <c r="BT111" s="34"/>
      <c r="BU111" s="34"/>
      <c r="BV111" s="34"/>
      <c r="BW111" s="34"/>
      <c r="BX111" s="34"/>
      <c r="BY111" s="4"/>
    </row>
    <row r="112" spans="1:77">
      <c r="A112" s="57"/>
      <c r="B112" s="12"/>
      <c r="C112" s="13"/>
      <c r="D112" s="13"/>
      <c r="E112" s="14"/>
      <c r="F112" s="13"/>
      <c r="G112" s="13"/>
      <c r="H112" s="13"/>
      <c r="I112" s="13"/>
      <c r="J112" s="13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13"/>
      <c r="BJ112" s="13"/>
      <c r="BK112" s="13"/>
      <c r="BL112" s="46"/>
      <c r="BM112" s="46"/>
      <c r="BN112" s="46"/>
      <c r="BO112" s="46"/>
      <c r="BP112" s="46"/>
      <c r="BQ112" s="46"/>
      <c r="BR112" s="34"/>
      <c r="BS112" s="34"/>
      <c r="BT112" s="34"/>
      <c r="BU112" s="34"/>
      <c r="BV112" s="34"/>
      <c r="BW112" s="34"/>
      <c r="BX112" s="34"/>
      <c r="BY112" s="4"/>
    </row>
    <row r="113" spans="1:77">
      <c r="A113" s="57"/>
      <c r="B113" s="12"/>
      <c r="C113" s="13"/>
      <c r="D113" s="13"/>
      <c r="E113" s="14"/>
      <c r="F113" s="13"/>
      <c r="G113" s="13"/>
      <c r="H113" s="13"/>
      <c r="I113" s="13"/>
      <c r="J113" s="13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13"/>
      <c r="BJ113" s="13"/>
      <c r="BK113" s="13"/>
      <c r="BL113" s="46"/>
      <c r="BM113" s="46"/>
      <c r="BN113" s="46"/>
      <c r="BO113" s="46"/>
      <c r="BP113" s="46"/>
      <c r="BQ113" s="46"/>
      <c r="BR113" s="34"/>
      <c r="BS113" s="34"/>
      <c r="BT113" s="34"/>
      <c r="BU113" s="34"/>
      <c r="BV113" s="34"/>
      <c r="BW113" s="34"/>
      <c r="BX113" s="34"/>
      <c r="BY113" s="4"/>
    </row>
    <row r="114" spans="1:77">
      <c r="A114" s="57"/>
      <c r="B114" s="13"/>
      <c r="C114" s="13"/>
      <c r="D114" s="13"/>
      <c r="E114" s="14"/>
      <c r="F114" s="13"/>
      <c r="G114" s="13"/>
      <c r="H114" s="13"/>
      <c r="I114" s="13"/>
      <c r="J114" s="13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13"/>
      <c r="BJ114" s="13"/>
      <c r="BK114" s="13"/>
      <c r="BL114" s="46"/>
      <c r="BM114" s="46"/>
      <c r="BN114" s="46"/>
      <c r="BO114" s="46"/>
      <c r="BP114" s="46"/>
      <c r="BQ114" s="46"/>
      <c r="BR114" s="34"/>
      <c r="BS114" s="34"/>
      <c r="BT114" s="34"/>
      <c r="BU114" s="34"/>
      <c r="BV114" s="34"/>
      <c r="BW114" s="34"/>
      <c r="BX114" s="34"/>
      <c r="BY114" s="4"/>
    </row>
    <row r="115" spans="1:77">
      <c r="A115" s="57"/>
      <c r="B115" s="13"/>
      <c r="C115" s="13"/>
      <c r="D115" s="13"/>
      <c r="E115" s="14"/>
      <c r="F115" s="13"/>
      <c r="G115" s="13"/>
      <c r="H115" s="13"/>
      <c r="I115" s="13"/>
      <c r="J115" s="13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13"/>
      <c r="BJ115" s="13"/>
      <c r="BK115" s="13"/>
      <c r="BL115" s="46"/>
      <c r="BM115" s="46"/>
      <c r="BN115" s="46"/>
      <c r="BO115" s="46"/>
      <c r="BP115" s="46"/>
      <c r="BQ115" s="46"/>
      <c r="BR115" s="34"/>
      <c r="BS115" s="34"/>
      <c r="BT115" s="34"/>
      <c r="BU115" s="34"/>
      <c r="BV115" s="34"/>
      <c r="BW115" s="34"/>
      <c r="BX115" s="34"/>
      <c r="BY115" s="4"/>
    </row>
    <row r="116" spans="1:77">
      <c r="A116" s="57"/>
      <c r="B116" s="13"/>
      <c r="C116" s="13"/>
      <c r="D116" s="13"/>
      <c r="E116" s="14"/>
      <c r="F116" s="13"/>
      <c r="G116" s="13"/>
      <c r="H116" s="13"/>
      <c r="I116" s="13"/>
      <c r="J116" s="13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13"/>
      <c r="BJ116" s="13"/>
      <c r="BK116" s="13"/>
      <c r="BL116" s="46"/>
      <c r="BM116" s="46"/>
      <c r="BN116" s="46"/>
      <c r="BO116" s="46"/>
      <c r="BP116" s="46"/>
      <c r="BQ116" s="46"/>
      <c r="BR116" s="34"/>
      <c r="BS116" s="34"/>
      <c r="BT116" s="34"/>
      <c r="BU116" s="34"/>
      <c r="BV116" s="34"/>
      <c r="BW116" s="34"/>
      <c r="BX116" s="34"/>
      <c r="BY116" s="4"/>
    </row>
    <row r="117" spans="1:77">
      <c r="A117" s="57"/>
      <c r="B117" s="12"/>
      <c r="C117" s="13"/>
      <c r="D117" s="13"/>
      <c r="E117" s="14"/>
      <c r="F117" s="13"/>
      <c r="G117" s="13"/>
      <c r="H117" s="13"/>
      <c r="I117" s="13"/>
      <c r="J117" s="13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13"/>
      <c r="BJ117" s="13"/>
      <c r="BK117" s="13"/>
      <c r="BL117" s="46"/>
      <c r="BM117" s="46"/>
      <c r="BN117" s="46"/>
      <c r="BO117" s="46"/>
      <c r="BP117" s="46"/>
      <c r="BQ117" s="46"/>
      <c r="BR117" s="34"/>
      <c r="BS117" s="34"/>
      <c r="BT117" s="34"/>
      <c r="BU117" s="34"/>
      <c r="BV117" s="34"/>
      <c r="BW117" s="34"/>
      <c r="BX117" s="34"/>
      <c r="BY117" s="4"/>
    </row>
    <row r="118" spans="1:77">
      <c r="A118" s="57"/>
      <c r="B118" s="13"/>
      <c r="C118" s="13"/>
      <c r="D118" s="13"/>
      <c r="E118" s="14"/>
      <c r="F118" s="13"/>
      <c r="G118" s="13"/>
      <c r="H118" s="13"/>
      <c r="I118" s="13"/>
      <c r="J118" s="13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13"/>
      <c r="BJ118" s="13"/>
      <c r="BK118" s="13"/>
      <c r="BL118" s="46"/>
      <c r="BM118" s="46"/>
      <c r="BN118" s="46"/>
      <c r="BO118" s="46"/>
      <c r="BP118" s="46"/>
      <c r="BQ118" s="46"/>
      <c r="BR118" s="34"/>
      <c r="BS118" s="34"/>
      <c r="BT118" s="34"/>
      <c r="BU118" s="34"/>
      <c r="BV118" s="34"/>
      <c r="BW118" s="34"/>
      <c r="BX118" s="34"/>
      <c r="BY118" s="4"/>
    </row>
    <row r="119" spans="1:77">
      <c r="A119" s="57"/>
      <c r="B119" s="13"/>
      <c r="C119" s="13"/>
      <c r="D119" s="13"/>
      <c r="E119" s="14"/>
      <c r="F119" s="13"/>
      <c r="G119" s="13"/>
      <c r="H119" s="13"/>
      <c r="I119" s="13"/>
      <c r="J119" s="13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13"/>
      <c r="BJ119" s="13"/>
      <c r="BK119" s="13"/>
      <c r="BL119" s="46"/>
      <c r="BM119" s="46"/>
      <c r="BN119" s="46"/>
      <c r="BO119" s="46"/>
      <c r="BP119" s="46"/>
      <c r="BQ119" s="46"/>
      <c r="BR119" s="34"/>
      <c r="BS119" s="34"/>
      <c r="BT119" s="34"/>
      <c r="BU119" s="34"/>
      <c r="BV119" s="34"/>
      <c r="BW119" s="34"/>
      <c r="BX119" s="34"/>
      <c r="BY119" s="4"/>
    </row>
    <row r="120" spans="1:77">
      <c r="A120" s="57"/>
      <c r="B120" s="12"/>
      <c r="C120" s="13"/>
      <c r="D120" s="13"/>
      <c r="E120" s="14"/>
      <c r="F120" s="13"/>
      <c r="G120" s="13"/>
      <c r="H120" s="13"/>
      <c r="I120" s="13"/>
      <c r="J120" s="13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13"/>
      <c r="BJ120" s="13"/>
      <c r="BK120" s="13"/>
      <c r="BL120" s="46"/>
      <c r="BM120" s="46"/>
      <c r="BN120" s="46"/>
      <c r="BO120" s="46"/>
      <c r="BP120" s="46"/>
      <c r="BQ120" s="46"/>
      <c r="BR120" s="34"/>
      <c r="BS120" s="34"/>
      <c r="BT120" s="34"/>
      <c r="BU120" s="34"/>
      <c r="BV120" s="34"/>
      <c r="BW120" s="34"/>
      <c r="BX120" s="34"/>
      <c r="BY120" s="4"/>
    </row>
    <row r="121" spans="1:77">
      <c r="A121" s="57"/>
      <c r="B121" s="12"/>
      <c r="C121" s="13"/>
      <c r="D121" s="13"/>
      <c r="E121" s="14"/>
      <c r="F121" s="13"/>
      <c r="G121" s="13"/>
      <c r="H121" s="13"/>
      <c r="I121" s="13"/>
      <c r="J121" s="13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13"/>
      <c r="BJ121" s="13"/>
      <c r="BK121" s="13"/>
      <c r="BL121" s="46"/>
      <c r="BM121" s="46"/>
      <c r="BN121" s="46"/>
      <c r="BO121" s="46"/>
      <c r="BP121" s="46"/>
      <c r="BQ121" s="46"/>
      <c r="BR121" s="34"/>
      <c r="BS121" s="34"/>
      <c r="BT121" s="34"/>
      <c r="BU121" s="34"/>
      <c r="BV121" s="34"/>
      <c r="BW121" s="34"/>
      <c r="BX121" s="34"/>
      <c r="BY121" s="4"/>
    </row>
    <row r="122" spans="1:77">
      <c r="A122" s="57"/>
      <c r="B122" s="13"/>
      <c r="C122" s="13"/>
      <c r="D122" s="13"/>
      <c r="E122" s="14"/>
      <c r="F122" s="13"/>
      <c r="G122" s="13"/>
      <c r="H122" s="13"/>
      <c r="I122" s="13"/>
      <c r="J122" s="13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13"/>
      <c r="BJ122" s="13"/>
      <c r="BK122" s="13"/>
      <c r="BL122" s="46"/>
      <c r="BM122" s="46"/>
      <c r="BN122" s="46"/>
      <c r="BO122" s="46"/>
      <c r="BP122" s="46"/>
      <c r="BQ122" s="46"/>
      <c r="BR122" s="34"/>
      <c r="BS122" s="34"/>
      <c r="BT122" s="34"/>
      <c r="BU122" s="34"/>
      <c r="BV122" s="34"/>
      <c r="BW122" s="34"/>
      <c r="BX122" s="34"/>
      <c r="BY122" s="4"/>
    </row>
    <row r="123" spans="1:77">
      <c r="A123" s="57"/>
      <c r="B123" s="12"/>
      <c r="C123" s="13"/>
      <c r="D123" s="13"/>
      <c r="E123" s="14"/>
      <c r="F123" s="13"/>
      <c r="G123" s="13"/>
      <c r="H123" s="13"/>
      <c r="I123" s="13"/>
      <c r="J123" s="13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13"/>
      <c r="BJ123" s="13"/>
      <c r="BK123" s="13"/>
      <c r="BL123" s="46"/>
      <c r="BM123" s="46"/>
      <c r="BN123" s="46"/>
      <c r="BO123" s="46"/>
      <c r="BP123" s="46"/>
      <c r="BQ123" s="46"/>
      <c r="BR123" s="34"/>
      <c r="BS123" s="34"/>
      <c r="BT123" s="34"/>
      <c r="BU123" s="34"/>
      <c r="BV123" s="34"/>
      <c r="BW123" s="34"/>
      <c r="BX123" s="34"/>
      <c r="BY123" s="4"/>
    </row>
    <row r="124" spans="1:77">
      <c r="A124" s="57"/>
      <c r="B124" s="13"/>
      <c r="C124" s="13"/>
      <c r="D124" s="13"/>
      <c r="E124" s="14"/>
      <c r="F124" s="13"/>
      <c r="G124" s="13"/>
      <c r="H124" s="13"/>
      <c r="I124" s="13"/>
      <c r="J124" s="13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13"/>
      <c r="BJ124" s="13"/>
      <c r="BK124" s="13"/>
      <c r="BL124" s="46"/>
      <c r="BM124" s="46"/>
      <c r="BN124" s="46"/>
      <c r="BO124" s="46"/>
      <c r="BP124" s="46"/>
      <c r="BQ124" s="46"/>
      <c r="BR124" s="34"/>
      <c r="BS124" s="34"/>
      <c r="BT124" s="34"/>
      <c r="BU124" s="34"/>
      <c r="BV124" s="34"/>
      <c r="BW124" s="34"/>
      <c r="BX124" s="34"/>
      <c r="BY124" s="4"/>
    </row>
    <row r="125" spans="1:77">
      <c r="A125" s="57"/>
      <c r="B125" s="12"/>
      <c r="C125" s="13"/>
      <c r="D125" s="13"/>
      <c r="E125" s="14"/>
      <c r="F125" s="13"/>
      <c r="G125" s="13"/>
      <c r="H125" s="13"/>
      <c r="I125" s="13"/>
      <c r="J125" s="13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13"/>
      <c r="BJ125" s="13"/>
      <c r="BK125" s="13"/>
      <c r="BL125" s="46"/>
      <c r="BM125" s="46"/>
      <c r="BN125" s="46"/>
      <c r="BO125" s="46"/>
      <c r="BP125" s="46"/>
      <c r="BQ125" s="46"/>
      <c r="BR125" s="34"/>
      <c r="BS125" s="34"/>
      <c r="BT125" s="34"/>
      <c r="BU125" s="34"/>
      <c r="BV125" s="34"/>
      <c r="BW125" s="34"/>
      <c r="BX125" s="34"/>
      <c r="BY125" s="4"/>
    </row>
    <row r="126" spans="1:77">
      <c r="A126" s="57"/>
      <c r="B126" s="13"/>
      <c r="C126" s="13"/>
      <c r="D126" s="13"/>
      <c r="E126" s="14"/>
      <c r="F126" s="13"/>
      <c r="G126" s="13"/>
      <c r="H126" s="13"/>
      <c r="I126" s="13"/>
      <c r="J126" s="13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13"/>
      <c r="BJ126" s="13"/>
      <c r="BK126" s="13"/>
      <c r="BL126" s="46"/>
      <c r="BM126" s="46"/>
      <c r="BN126" s="46"/>
      <c r="BO126" s="46"/>
      <c r="BP126" s="46"/>
      <c r="BQ126" s="46"/>
      <c r="BR126" s="34"/>
      <c r="BS126" s="34"/>
      <c r="BT126" s="34"/>
      <c r="BU126" s="34"/>
      <c r="BV126" s="34"/>
      <c r="BW126" s="34"/>
      <c r="BX126" s="34"/>
      <c r="BY126" s="4"/>
    </row>
    <row r="127" spans="1:77">
      <c r="A127" s="57"/>
      <c r="B127" s="13"/>
      <c r="C127" s="13"/>
      <c r="D127" s="13"/>
      <c r="E127" s="14"/>
      <c r="F127" s="13"/>
      <c r="G127" s="13"/>
      <c r="H127" s="13"/>
      <c r="I127" s="13"/>
      <c r="J127" s="13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13"/>
      <c r="BJ127" s="13"/>
      <c r="BK127" s="13"/>
      <c r="BL127" s="46"/>
      <c r="BM127" s="46"/>
      <c r="BN127" s="46"/>
      <c r="BO127" s="46"/>
      <c r="BP127" s="46"/>
      <c r="BQ127" s="46"/>
      <c r="BR127" s="34"/>
      <c r="BS127" s="34"/>
      <c r="BT127" s="34"/>
      <c r="BU127" s="34"/>
      <c r="BV127" s="34"/>
      <c r="BW127" s="34"/>
      <c r="BX127" s="34"/>
      <c r="BY127" s="4"/>
    </row>
    <row r="128" spans="1:77">
      <c r="A128" s="57"/>
      <c r="B128" s="12"/>
      <c r="C128" s="13"/>
      <c r="D128" s="13"/>
      <c r="E128" s="14"/>
      <c r="F128" s="13"/>
      <c r="G128" s="13"/>
      <c r="H128" s="13"/>
      <c r="I128" s="13"/>
      <c r="J128" s="13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13"/>
      <c r="BJ128" s="13"/>
      <c r="BK128" s="13"/>
      <c r="BL128" s="46"/>
      <c r="BM128" s="46"/>
      <c r="BN128" s="46"/>
      <c r="BO128" s="46"/>
      <c r="BP128" s="46"/>
      <c r="BQ128" s="46"/>
      <c r="BR128" s="34"/>
      <c r="BS128" s="34"/>
      <c r="BT128" s="34"/>
      <c r="BU128" s="34"/>
      <c r="BV128" s="34"/>
      <c r="BW128" s="34"/>
      <c r="BX128" s="34"/>
      <c r="BY128" s="4"/>
    </row>
    <row r="129" spans="1:77">
      <c r="A129" s="57"/>
      <c r="B129" s="12"/>
      <c r="C129" s="13"/>
      <c r="D129" s="13"/>
      <c r="E129" s="14"/>
      <c r="F129" s="13"/>
      <c r="G129" s="13"/>
      <c r="H129" s="13"/>
      <c r="I129" s="13"/>
      <c r="J129" s="13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13"/>
      <c r="BJ129" s="13"/>
      <c r="BK129" s="13"/>
      <c r="BL129" s="46"/>
      <c r="BM129" s="46"/>
      <c r="BN129" s="46"/>
      <c r="BO129" s="46"/>
      <c r="BP129" s="46"/>
      <c r="BQ129" s="46"/>
      <c r="BR129" s="34"/>
      <c r="BS129" s="34"/>
      <c r="BT129" s="34"/>
      <c r="BU129" s="34"/>
      <c r="BV129" s="34"/>
      <c r="BW129" s="34"/>
      <c r="BX129" s="34"/>
      <c r="BY129" s="4"/>
    </row>
    <row r="130" spans="1:77">
      <c r="A130" s="57"/>
      <c r="B130" s="12"/>
      <c r="C130" s="13"/>
      <c r="D130" s="13"/>
      <c r="E130" s="14"/>
      <c r="F130" s="13"/>
      <c r="G130" s="13"/>
      <c r="H130" s="13"/>
      <c r="I130" s="13"/>
      <c r="J130" s="13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13"/>
      <c r="BJ130" s="13"/>
      <c r="BK130" s="13"/>
      <c r="BL130" s="46"/>
      <c r="BM130" s="46"/>
      <c r="BN130" s="46"/>
      <c r="BO130" s="46"/>
      <c r="BP130" s="46"/>
      <c r="BQ130" s="46"/>
      <c r="BR130" s="34"/>
      <c r="BS130" s="34"/>
      <c r="BT130" s="34"/>
      <c r="BU130" s="34"/>
      <c r="BV130" s="34"/>
      <c r="BW130" s="34"/>
      <c r="BX130" s="34"/>
      <c r="BY130" s="4"/>
    </row>
    <row r="131" spans="1:77">
      <c r="A131" s="57"/>
      <c r="B131" s="13"/>
      <c r="C131" s="13"/>
      <c r="D131" s="13"/>
      <c r="E131" s="14"/>
      <c r="F131" s="13"/>
      <c r="G131" s="13"/>
      <c r="H131" s="13"/>
      <c r="I131" s="13"/>
      <c r="J131" s="13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13"/>
      <c r="BJ131" s="13"/>
      <c r="BK131" s="13"/>
      <c r="BL131" s="46"/>
      <c r="BM131" s="46"/>
      <c r="BN131" s="46"/>
      <c r="BO131" s="46"/>
      <c r="BP131" s="46"/>
      <c r="BQ131" s="46"/>
      <c r="BR131" s="34"/>
      <c r="BS131" s="34"/>
      <c r="BT131" s="34"/>
      <c r="BU131" s="34"/>
      <c r="BV131" s="34"/>
      <c r="BW131" s="34"/>
      <c r="BX131" s="34"/>
      <c r="BY131" s="4"/>
    </row>
    <row r="132" spans="1:77">
      <c r="A132" s="57"/>
      <c r="B132" s="26"/>
      <c r="C132" s="13"/>
      <c r="D132" s="13"/>
      <c r="E132" s="14"/>
      <c r="F132" s="13"/>
      <c r="G132" s="13"/>
      <c r="H132" s="13"/>
      <c r="I132" s="13"/>
      <c r="J132" s="13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13"/>
      <c r="BJ132" s="13"/>
      <c r="BK132" s="13"/>
      <c r="BL132" s="46"/>
      <c r="BM132" s="46"/>
      <c r="BN132" s="46"/>
      <c r="BO132" s="46"/>
      <c r="BP132" s="46"/>
      <c r="BQ132" s="46"/>
      <c r="BR132" s="34"/>
      <c r="BS132" s="34"/>
      <c r="BT132" s="34"/>
      <c r="BU132" s="34"/>
      <c r="BV132" s="34"/>
      <c r="BW132" s="34"/>
      <c r="BX132" s="34"/>
      <c r="BY132" s="4"/>
    </row>
    <row r="133" spans="1:77">
      <c r="A133" s="57"/>
      <c r="B133" s="15"/>
      <c r="C133" s="13"/>
      <c r="D133" s="13"/>
      <c r="E133" s="14"/>
      <c r="F133" s="13"/>
      <c r="G133" s="13"/>
      <c r="H133" s="13"/>
      <c r="I133" s="13"/>
      <c r="J133" s="13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13"/>
      <c r="BJ133" s="13"/>
      <c r="BK133" s="13"/>
      <c r="BL133" s="46"/>
      <c r="BM133" s="46"/>
      <c r="BN133" s="46"/>
      <c r="BO133" s="46"/>
      <c r="BP133" s="46"/>
      <c r="BQ133" s="46"/>
      <c r="BR133" s="34"/>
      <c r="BS133" s="34"/>
      <c r="BT133" s="34"/>
      <c r="BU133" s="34"/>
      <c r="BV133" s="34"/>
      <c r="BW133" s="34"/>
      <c r="BX133" s="34"/>
      <c r="BY133" s="4"/>
    </row>
    <row r="134" spans="1:77">
      <c r="A134" s="57"/>
      <c r="B134" s="13"/>
      <c r="C134" s="13"/>
      <c r="D134" s="13"/>
      <c r="E134" s="14"/>
      <c r="F134" s="13"/>
      <c r="G134" s="13"/>
      <c r="H134" s="13"/>
      <c r="I134" s="13"/>
      <c r="J134" s="13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13"/>
      <c r="BJ134" s="13"/>
      <c r="BK134" s="13"/>
      <c r="BL134" s="46"/>
      <c r="BM134" s="46"/>
      <c r="BN134" s="46"/>
      <c r="BO134" s="46"/>
      <c r="BP134" s="46"/>
      <c r="BQ134" s="46"/>
      <c r="BR134" s="34"/>
      <c r="BS134" s="34"/>
      <c r="BT134" s="34"/>
      <c r="BU134" s="34"/>
      <c r="BV134" s="34"/>
      <c r="BW134" s="34"/>
      <c r="BX134" s="34"/>
      <c r="BY134" s="4"/>
    </row>
    <row r="135" spans="1:77">
      <c r="A135" s="57"/>
      <c r="B135" s="12"/>
      <c r="C135" s="13"/>
      <c r="D135" s="13"/>
      <c r="E135" s="14"/>
      <c r="F135" s="13"/>
      <c r="G135" s="13"/>
      <c r="H135" s="13"/>
      <c r="I135" s="13"/>
      <c r="J135" s="13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13"/>
      <c r="BJ135" s="13"/>
      <c r="BK135" s="13"/>
      <c r="BL135" s="46"/>
      <c r="BM135" s="46"/>
      <c r="BN135" s="46"/>
      <c r="BO135" s="46"/>
      <c r="BP135" s="46"/>
      <c r="BQ135" s="46"/>
      <c r="BR135" s="34"/>
      <c r="BS135" s="34"/>
      <c r="BT135" s="34"/>
      <c r="BU135" s="34"/>
      <c r="BV135" s="34"/>
      <c r="BW135" s="34"/>
      <c r="BX135" s="34"/>
      <c r="BY135" s="4"/>
    </row>
    <row r="136" spans="1:77">
      <c r="A136" s="57"/>
      <c r="B136" s="12"/>
      <c r="C136" s="13"/>
      <c r="D136" s="13"/>
      <c r="E136" s="14"/>
      <c r="F136" s="13"/>
      <c r="G136" s="13"/>
      <c r="H136" s="13"/>
      <c r="I136" s="13"/>
      <c r="J136" s="13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13"/>
      <c r="BJ136" s="13"/>
      <c r="BK136" s="13"/>
      <c r="BL136" s="46"/>
      <c r="BM136" s="46"/>
      <c r="BN136" s="46"/>
      <c r="BO136" s="46"/>
      <c r="BP136" s="46"/>
      <c r="BQ136" s="46"/>
      <c r="BR136" s="34"/>
      <c r="BS136" s="34"/>
      <c r="BT136" s="34"/>
      <c r="BU136" s="34"/>
      <c r="BV136" s="34"/>
      <c r="BW136" s="34"/>
      <c r="BX136" s="34"/>
      <c r="BY136" s="4"/>
    </row>
    <row r="137" spans="1:77">
      <c r="A137" s="57"/>
      <c r="B137" s="12"/>
      <c r="C137" s="13"/>
      <c r="D137" s="13"/>
      <c r="E137" s="14"/>
      <c r="F137" s="13"/>
      <c r="G137" s="13"/>
      <c r="H137" s="13"/>
      <c r="I137" s="13"/>
      <c r="J137" s="13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13"/>
      <c r="BJ137" s="13"/>
      <c r="BK137" s="13"/>
      <c r="BL137" s="46"/>
      <c r="BM137" s="46"/>
      <c r="BN137" s="46"/>
      <c r="BO137" s="46"/>
      <c r="BP137" s="46"/>
      <c r="BQ137" s="46"/>
      <c r="BR137" s="34"/>
      <c r="BS137" s="34"/>
      <c r="BT137" s="34"/>
      <c r="BU137" s="34"/>
      <c r="BV137" s="34"/>
      <c r="BW137" s="34"/>
      <c r="BX137" s="34"/>
      <c r="BY137" s="4"/>
    </row>
    <row r="138" spans="1:77">
      <c r="A138" s="57"/>
      <c r="B138" s="12"/>
      <c r="C138" s="13"/>
      <c r="D138" s="13"/>
      <c r="E138" s="14"/>
      <c r="F138" s="13"/>
      <c r="G138" s="13"/>
      <c r="H138" s="13"/>
      <c r="I138" s="13"/>
      <c r="J138" s="13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13"/>
      <c r="BJ138" s="13"/>
      <c r="BK138" s="13"/>
      <c r="BL138" s="46"/>
      <c r="BM138" s="46"/>
      <c r="BN138" s="46"/>
      <c r="BO138" s="46"/>
      <c r="BP138" s="46"/>
      <c r="BQ138" s="46"/>
      <c r="BR138" s="34"/>
      <c r="BS138" s="34"/>
      <c r="BT138" s="34"/>
      <c r="BU138" s="34"/>
      <c r="BV138" s="34"/>
      <c r="BW138" s="34"/>
      <c r="BX138" s="34"/>
      <c r="BY138" s="4"/>
    </row>
    <row r="139" spans="1:77">
      <c r="A139" s="57"/>
      <c r="B139" s="13"/>
      <c r="C139" s="13"/>
      <c r="D139" s="13"/>
      <c r="E139" s="14"/>
      <c r="F139" s="13"/>
      <c r="G139" s="13"/>
      <c r="H139" s="13"/>
      <c r="I139" s="13"/>
      <c r="J139" s="13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13"/>
      <c r="BJ139" s="13"/>
      <c r="BK139" s="13"/>
      <c r="BL139" s="46"/>
      <c r="BM139" s="46"/>
      <c r="BN139" s="46"/>
      <c r="BO139" s="46"/>
      <c r="BP139" s="46"/>
      <c r="BQ139" s="46"/>
      <c r="BR139" s="34"/>
      <c r="BS139" s="34"/>
      <c r="BT139" s="34"/>
      <c r="BU139" s="34"/>
      <c r="BV139" s="34"/>
      <c r="BW139" s="34"/>
      <c r="BX139" s="34"/>
      <c r="BY139" s="4"/>
    </row>
    <row r="140" spans="1:77">
      <c r="A140" s="57"/>
      <c r="B140" s="12"/>
      <c r="C140" s="13"/>
      <c r="D140" s="13"/>
      <c r="E140" s="14"/>
      <c r="F140" s="13"/>
      <c r="G140" s="13"/>
      <c r="H140" s="13"/>
      <c r="I140" s="13"/>
      <c r="J140" s="13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13"/>
      <c r="BJ140" s="13"/>
      <c r="BK140" s="13"/>
      <c r="BL140" s="46"/>
      <c r="BM140" s="46"/>
      <c r="BN140" s="46"/>
      <c r="BO140" s="46"/>
      <c r="BP140" s="46"/>
      <c r="BQ140" s="46"/>
      <c r="BR140" s="34"/>
      <c r="BS140" s="34"/>
      <c r="BT140" s="34"/>
      <c r="BU140" s="34"/>
      <c r="BV140" s="34"/>
      <c r="BW140" s="34"/>
      <c r="BX140" s="34"/>
      <c r="BY140" s="4"/>
    </row>
    <row r="141" spans="1:77">
      <c r="A141" s="57"/>
      <c r="B141" s="12"/>
      <c r="C141" s="13"/>
      <c r="D141" s="13"/>
      <c r="E141" s="14"/>
      <c r="F141" s="13"/>
      <c r="G141" s="13"/>
      <c r="H141" s="13"/>
      <c r="I141" s="13"/>
      <c r="J141" s="13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13"/>
      <c r="BJ141" s="13"/>
      <c r="BK141" s="13"/>
      <c r="BL141" s="46"/>
      <c r="BM141" s="46"/>
      <c r="BN141" s="46"/>
      <c r="BO141" s="46"/>
      <c r="BP141" s="46"/>
      <c r="BQ141" s="46"/>
      <c r="BR141" s="34"/>
      <c r="BS141" s="34"/>
      <c r="BT141" s="34"/>
      <c r="BU141" s="34"/>
      <c r="BV141" s="34"/>
      <c r="BW141" s="34"/>
      <c r="BX141" s="34"/>
      <c r="BY141" s="4"/>
    </row>
    <row r="142" spans="1:77">
      <c r="A142" s="57"/>
      <c r="B142" s="13"/>
      <c r="C142" s="13"/>
      <c r="D142" s="13"/>
      <c r="E142" s="14"/>
      <c r="F142" s="13"/>
      <c r="G142" s="13"/>
      <c r="H142" s="13"/>
      <c r="I142" s="13"/>
      <c r="J142" s="13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13"/>
      <c r="BJ142" s="13"/>
      <c r="BK142" s="13"/>
      <c r="BL142" s="46"/>
      <c r="BM142" s="46"/>
      <c r="BN142" s="46"/>
      <c r="BO142" s="46"/>
      <c r="BP142" s="46"/>
      <c r="BQ142" s="46"/>
      <c r="BR142" s="34"/>
      <c r="BS142" s="34"/>
      <c r="BT142" s="34"/>
      <c r="BU142" s="34"/>
      <c r="BV142" s="34"/>
      <c r="BW142" s="34"/>
      <c r="BX142" s="34"/>
      <c r="BY142" s="4"/>
    </row>
    <row r="143" spans="1:77">
      <c r="A143" s="57"/>
      <c r="B143" s="13"/>
      <c r="C143" s="13"/>
      <c r="D143" s="13"/>
      <c r="E143" s="14"/>
      <c r="F143" s="13"/>
      <c r="G143" s="13"/>
      <c r="H143" s="13"/>
      <c r="I143" s="13"/>
      <c r="J143" s="13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13"/>
      <c r="BJ143" s="13"/>
      <c r="BK143" s="13"/>
      <c r="BL143" s="46"/>
      <c r="BM143" s="46"/>
      <c r="BN143" s="46"/>
      <c r="BO143" s="46"/>
      <c r="BP143" s="46"/>
      <c r="BQ143" s="46"/>
      <c r="BR143" s="34"/>
      <c r="BS143" s="34"/>
      <c r="BT143" s="34"/>
      <c r="BU143" s="34"/>
      <c r="BV143" s="34"/>
      <c r="BW143" s="34"/>
      <c r="BX143" s="34"/>
      <c r="BY143" s="4"/>
    </row>
    <row r="144" spans="1:77">
      <c r="A144" s="57"/>
      <c r="B144" s="13"/>
      <c r="C144" s="13"/>
      <c r="D144" s="13"/>
      <c r="E144" s="14"/>
      <c r="F144" s="13"/>
      <c r="G144" s="13"/>
      <c r="H144" s="13"/>
      <c r="I144" s="13"/>
      <c r="J144" s="13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13"/>
      <c r="BJ144" s="13"/>
      <c r="BK144" s="13"/>
      <c r="BL144" s="46"/>
      <c r="BM144" s="46"/>
      <c r="BN144" s="46"/>
      <c r="BO144" s="46"/>
      <c r="BP144" s="46"/>
      <c r="BQ144" s="46"/>
      <c r="BR144" s="34"/>
      <c r="BS144" s="34"/>
      <c r="BT144" s="34"/>
      <c r="BU144" s="34"/>
      <c r="BV144" s="34"/>
      <c r="BW144" s="34"/>
      <c r="BX144" s="34"/>
      <c r="BY144" s="4"/>
    </row>
    <row r="145" spans="1:77">
      <c r="A145" s="57"/>
      <c r="B145" s="12"/>
      <c r="C145" s="13"/>
      <c r="D145" s="13"/>
      <c r="E145" s="14"/>
      <c r="F145" s="13"/>
      <c r="G145" s="13"/>
      <c r="H145" s="13"/>
      <c r="I145" s="13"/>
      <c r="J145" s="13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13"/>
      <c r="BJ145" s="13"/>
      <c r="BK145" s="13"/>
      <c r="BL145" s="46"/>
      <c r="BM145" s="46"/>
      <c r="BN145" s="46"/>
      <c r="BO145" s="46"/>
      <c r="BP145" s="46"/>
      <c r="BQ145" s="46"/>
      <c r="BR145" s="34"/>
      <c r="BS145" s="34"/>
      <c r="BT145" s="34"/>
      <c r="BU145" s="34"/>
      <c r="BV145" s="34"/>
      <c r="BW145" s="34"/>
      <c r="BX145" s="34"/>
      <c r="BY145" s="4"/>
    </row>
    <row r="146" spans="1:77">
      <c r="A146" s="57"/>
      <c r="B146" s="13"/>
      <c r="C146" s="13"/>
      <c r="D146" s="13"/>
      <c r="E146" s="14"/>
      <c r="F146" s="13"/>
      <c r="G146" s="13"/>
      <c r="H146" s="13"/>
      <c r="I146" s="13"/>
      <c r="J146" s="13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13"/>
      <c r="BJ146" s="13"/>
      <c r="BK146" s="13"/>
      <c r="BL146" s="46"/>
      <c r="BM146" s="46"/>
      <c r="BN146" s="46"/>
      <c r="BO146" s="46"/>
      <c r="BP146" s="46"/>
      <c r="BQ146" s="46"/>
      <c r="BR146" s="34"/>
      <c r="BS146" s="34"/>
      <c r="BT146" s="34"/>
      <c r="BU146" s="34"/>
      <c r="BV146" s="34"/>
      <c r="BW146" s="34"/>
      <c r="BX146" s="34"/>
      <c r="BY146" s="4"/>
    </row>
    <row r="147" spans="1:77">
      <c r="A147" s="57"/>
      <c r="B147" s="12"/>
      <c r="C147" s="13"/>
      <c r="D147" s="13"/>
      <c r="E147" s="14"/>
      <c r="F147" s="13"/>
      <c r="G147" s="13"/>
      <c r="H147" s="13"/>
      <c r="I147" s="13"/>
      <c r="J147" s="13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13"/>
      <c r="BJ147" s="13"/>
      <c r="BK147" s="13"/>
      <c r="BL147" s="46"/>
      <c r="BM147" s="46"/>
      <c r="BN147" s="46"/>
      <c r="BO147" s="46"/>
      <c r="BP147" s="46"/>
      <c r="BQ147" s="46"/>
      <c r="BR147" s="34"/>
      <c r="BS147" s="34"/>
      <c r="BT147" s="34"/>
      <c r="BU147" s="34"/>
      <c r="BV147" s="34"/>
      <c r="BW147" s="34"/>
      <c r="BX147" s="34"/>
      <c r="BY147" s="4"/>
    </row>
    <row r="148" spans="1:77">
      <c r="A148" s="57"/>
      <c r="B148" s="12"/>
      <c r="C148" s="13"/>
      <c r="D148" s="13"/>
      <c r="E148" s="14"/>
      <c r="F148" s="13"/>
      <c r="G148" s="13"/>
      <c r="H148" s="13"/>
      <c r="I148" s="13"/>
      <c r="J148" s="13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13"/>
      <c r="BJ148" s="13"/>
      <c r="BK148" s="13"/>
      <c r="BL148" s="46"/>
      <c r="BM148" s="46"/>
      <c r="BN148" s="46"/>
      <c r="BO148" s="46"/>
      <c r="BP148" s="46"/>
      <c r="BQ148" s="46"/>
      <c r="BR148" s="34"/>
      <c r="BS148" s="34"/>
      <c r="BT148" s="34"/>
      <c r="BU148" s="34"/>
      <c r="BV148" s="34"/>
      <c r="BW148" s="34"/>
      <c r="BX148" s="34"/>
      <c r="BY148" s="4"/>
    </row>
    <row r="149" spans="1:77">
      <c r="A149" s="57"/>
      <c r="B149" s="12"/>
      <c r="C149" s="13"/>
      <c r="D149" s="13"/>
      <c r="E149" s="14"/>
      <c r="F149" s="13"/>
      <c r="G149" s="13"/>
      <c r="H149" s="13"/>
      <c r="I149" s="13"/>
      <c r="J149" s="13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13"/>
      <c r="BJ149" s="13"/>
      <c r="BK149" s="13"/>
      <c r="BL149" s="46"/>
      <c r="BM149" s="46"/>
      <c r="BN149" s="46"/>
      <c r="BO149" s="46"/>
      <c r="BP149" s="46"/>
      <c r="BQ149" s="46"/>
      <c r="BR149" s="34"/>
      <c r="BS149" s="34"/>
      <c r="BT149" s="34"/>
      <c r="BU149" s="34"/>
      <c r="BV149" s="34"/>
      <c r="BW149" s="34"/>
      <c r="BX149" s="34"/>
      <c r="BY149" s="4"/>
    </row>
    <row r="150" spans="1:77">
      <c r="A150" s="57"/>
      <c r="B150" s="16"/>
      <c r="C150" s="16"/>
      <c r="D150" s="16"/>
      <c r="E150" s="17"/>
      <c r="F150" s="16"/>
      <c r="G150" s="16"/>
      <c r="H150" s="16"/>
      <c r="I150" s="16"/>
      <c r="J150" s="1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5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16"/>
      <c r="BJ150" s="16"/>
      <c r="BK150" s="16"/>
      <c r="BL150" s="48"/>
      <c r="BM150" s="48"/>
      <c r="BN150" s="48"/>
      <c r="BO150" s="48"/>
      <c r="BP150" s="48"/>
      <c r="BQ150" s="48"/>
      <c r="BR150" s="36"/>
      <c r="BS150" s="36"/>
      <c r="BT150" s="36"/>
      <c r="BU150" s="36"/>
      <c r="BV150" s="36"/>
      <c r="BW150" s="36"/>
      <c r="BX150" s="36"/>
      <c r="BY150" s="6"/>
    </row>
    <row r="151" spans="1:77">
      <c r="A151" s="57"/>
      <c r="B151" s="19"/>
      <c r="C151" s="16"/>
      <c r="D151" s="16"/>
      <c r="E151" s="17"/>
      <c r="F151" s="16"/>
      <c r="G151" s="16"/>
      <c r="H151" s="16"/>
      <c r="I151" s="16"/>
      <c r="J151" s="1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5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16"/>
      <c r="BJ151" s="16"/>
      <c r="BK151" s="16"/>
      <c r="BL151" s="48"/>
      <c r="BM151" s="48"/>
      <c r="BN151" s="48"/>
      <c r="BO151" s="48"/>
      <c r="BP151" s="48"/>
      <c r="BQ151" s="48"/>
      <c r="BR151" s="36"/>
      <c r="BS151" s="36"/>
      <c r="BT151" s="36"/>
      <c r="BU151" s="36"/>
      <c r="BV151" s="36"/>
      <c r="BW151" s="36"/>
      <c r="BX151" s="36"/>
      <c r="BY151" s="6"/>
    </row>
    <row r="152" spans="1:77">
      <c r="A152" s="57"/>
      <c r="B152" s="16"/>
      <c r="C152" s="16"/>
      <c r="D152" s="16"/>
      <c r="E152" s="17"/>
      <c r="F152" s="16"/>
      <c r="G152" s="16"/>
      <c r="H152" s="16"/>
      <c r="I152" s="16"/>
      <c r="J152" s="1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5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16"/>
      <c r="BJ152" s="16"/>
      <c r="BK152" s="16"/>
      <c r="BL152" s="48"/>
      <c r="BM152" s="48"/>
      <c r="BN152" s="48"/>
      <c r="BO152" s="48"/>
      <c r="BP152" s="48"/>
      <c r="BQ152" s="48"/>
      <c r="BR152" s="36"/>
      <c r="BS152" s="36"/>
      <c r="BT152" s="36"/>
      <c r="BU152" s="36"/>
      <c r="BV152" s="36"/>
      <c r="BW152" s="36"/>
      <c r="BX152" s="36"/>
      <c r="BY152" s="6"/>
    </row>
    <row r="153" spans="1:77">
      <c r="A153" s="57"/>
      <c r="B153" s="16"/>
      <c r="C153" s="16"/>
      <c r="D153" s="16"/>
      <c r="E153" s="17"/>
      <c r="F153" s="16"/>
      <c r="G153" s="16"/>
      <c r="H153" s="16"/>
      <c r="I153" s="16"/>
      <c r="J153" s="1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5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16"/>
      <c r="BJ153" s="16"/>
      <c r="BK153" s="16"/>
      <c r="BL153" s="48"/>
      <c r="BM153" s="48"/>
      <c r="BN153" s="48"/>
      <c r="BO153" s="48"/>
      <c r="BP153" s="48"/>
      <c r="BQ153" s="48"/>
      <c r="BR153" s="36"/>
      <c r="BS153" s="36"/>
      <c r="BT153" s="36"/>
      <c r="BU153" s="36"/>
      <c r="BV153" s="36"/>
      <c r="BW153" s="36"/>
      <c r="BX153" s="36"/>
      <c r="BY153" s="6"/>
    </row>
    <row r="154" spans="1:77">
      <c r="A154" s="57"/>
      <c r="B154" s="19"/>
      <c r="C154" s="16"/>
      <c r="D154" s="16"/>
      <c r="E154" s="17"/>
      <c r="F154" s="16"/>
      <c r="G154" s="16"/>
      <c r="H154" s="16"/>
      <c r="I154" s="16"/>
      <c r="J154" s="1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5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16"/>
      <c r="BJ154" s="16"/>
      <c r="BK154" s="16"/>
      <c r="BL154" s="48"/>
      <c r="BM154" s="48"/>
      <c r="BN154" s="48"/>
      <c r="BO154" s="48"/>
      <c r="BP154" s="48"/>
      <c r="BQ154" s="48"/>
      <c r="BR154" s="36"/>
      <c r="BS154" s="36"/>
      <c r="BT154" s="36"/>
      <c r="BU154" s="36"/>
      <c r="BV154" s="36"/>
      <c r="BW154" s="36"/>
      <c r="BX154" s="36"/>
      <c r="BY154" s="6"/>
    </row>
    <row r="155" spans="1:77">
      <c r="A155" s="57"/>
      <c r="B155" s="19"/>
      <c r="C155" s="16"/>
      <c r="D155" s="16"/>
      <c r="E155" s="17"/>
      <c r="F155" s="16"/>
      <c r="G155" s="16"/>
      <c r="H155" s="16"/>
      <c r="I155" s="16"/>
      <c r="J155" s="1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5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16"/>
      <c r="BJ155" s="16"/>
      <c r="BK155" s="16"/>
      <c r="BL155" s="48"/>
      <c r="BM155" s="48"/>
      <c r="BN155" s="48"/>
      <c r="BO155" s="48"/>
      <c r="BP155" s="48"/>
      <c r="BQ155" s="48"/>
      <c r="BR155" s="36"/>
      <c r="BS155" s="36"/>
      <c r="BT155" s="36"/>
      <c r="BU155" s="36"/>
      <c r="BV155" s="36"/>
      <c r="BW155" s="36"/>
      <c r="BX155" s="36"/>
      <c r="BY155" s="6"/>
    </row>
    <row r="156" spans="1:77">
      <c r="A156" s="57"/>
      <c r="B156" s="19"/>
      <c r="C156" s="16"/>
      <c r="D156" s="16"/>
      <c r="E156" s="17"/>
      <c r="F156" s="16"/>
      <c r="G156" s="16"/>
      <c r="H156" s="16"/>
      <c r="I156" s="16"/>
      <c r="J156" s="1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5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16"/>
      <c r="BJ156" s="16"/>
      <c r="BK156" s="16"/>
      <c r="BL156" s="48"/>
      <c r="BM156" s="48"/>
      <c r="BN156" s="48"/>
      <c r="BO156" s="48"/>
      <c r="BP156" s="48"/>
      <c r="BQ156" s="48"/>
      <c r="BR156" s="36"/>
      <c r="BS156" s="36"/>
      <c r="BT156" s="36"/>
      <c r="BU156" s="36"/>
      <c r="BV156" s="36"/>
      <c r="BW156" s="36"/>
      <c r="BX156" s="36"/>
      <c r="BY156" s="6"/>
    </row>
    <row r="157" spans="1:77">
      <c r="A157" s="57"/>
      <c r="B157" s="19"/>
      <c r="C157" s="16"/>
      <c r="D157" s="16"/>
      <c r="E157" s="17"/>
      <c r="F157" s="16"/>
      <c r="G157" s="16"/>
      <c r="H157" s="16"/>
      <c r="I157" s="16"/>
      <c r="J157" s="1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5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16"/>
      <c r="BJ157" s="16"/>
      <c r="BK157" s="16"/>
      <c r="BL157" s="48"/>
      <c r="BM157" s="48"/>
      <c r="BN157" s="48"/>
      <c r="BO157" s="48"/>
      <c r="BP157" s="48"/>
      <c r="BQ157" s="48"/>
      <c r="BR157" s="36"/>
      <c r="BS157" s="36"/>
      <c r="BT157" s="36"/>
      <c r="BU157" s="36"/>
      <c r="BV157" s="36"/>
      <c r="BW157" s="36"/>
      <c r="BX157" s="36"/>
      <c r="BY157" s="6"/>
    </row>
    <row r="158" spans="1:77">
      <c r="A158" s="57"/>
      <c r="B158" s="16"/>
      <c r="C158" s="16"/>
      <c r="D158" s="16"/>
      <c r="E158" s="17"/>
      <c r="F158" s="16"/>
      <c r="G158" s="16"/>
      <c r="H158" s="16"/>
      <c r="I158" s="16"/>
      <c r="J158" s="1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5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16"/>
      <c r="BJ158" s="16"/>
      <c r="BK158" s="16"/>
      <c r="BL158" s="48"/>
      <c r="BM158" s="48"/>
      <c r="BN158" s="48"/>
      <c r="BO158" s="48"/>
      <c r="BP158" s="48"/>
      <c r="BQ158" s="48"/>
      <c r="BR158" s="36"/>
      <c r="BS158" s="36"/>
      <c r="BT158" s="36"/>
      <c r="BU158" s="36"/>
      <c r="BV158" s="36"/>
      <c r="BW158" s="36"/>
      <c r="BX158" s="36"/>
      <c r="BY158" s="6"/>
    </row>
    <row r="159" spans="1:77">
      <c r="A159" s="57"/>
      <c r="B159" s="16"/>
      <c r="C159" s="16"/>
      <c r="D159" s="16"/>
      <c r="E159" s="17"/>
      <c r="F159" s="16"/>
      <c r="G159" s="16"/>
      <c r="H159" s="16"/>
      <c r="I159" s="16"/>
      <c r="J159" s="1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5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16"/>
      <c r="BJ159" s="16"/>
      <c r="BK159" s="16"/>
      <c r="BL159" s="48"/>
      <c r="BM159" s="48"/>
      <c r="BN159" s="48"/>
      <c r="BO159" s="48"/>
      <c r="BP159" s="48"/>
      <c r="BQ159" s="48"/>
      <c r="BR159" s="36"/>
      <c r="BS159" s="36"/>
      <c r="BT159" s="36"/>
      <c r="BU159" s="36"/>
      <c r="BV159" s="36"/>
      <c r="BW159" s="36"/>
      <c r="BX159" s="36"/>
      <c r="BY159" s="6"/>
    </row>
    <row r="160" spans="1:77">
      <c r="A160" s="57"/>
      <c r="B160" s="19"/>
      <c r="C160" s="16"/>
      <c r="D160" s="16"/>
      <c r="E160" s="17"/>
      <c r="F160" s="16"/>
      <c r="G160" s="16"/>
      <c r="H160" s="16"/>
      <c r="I160" s="16"/>
      <c r="J160" s="1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5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16"/>
      <c r="BJ160" s="16"/>
      <c r="BK160" s="16"/>
      <c r="BL160" s="48"/>
      <c r="BM160" s="48"/>
      <c r="BN160" s="48"/>
      <c r="BO160" s="48"/>
      <c r="BP160" s="48"/>
      <c r="BQ160" s="48"/>
      <c r="BR160" s="36"/>
      <c r="BS160" s="36"/>
      <c r="BT160" s="36"/>
      <c r="BU160" s="36"/>
      <c r="BV160" s="36"/>
      <c r="BW160" s="36"/>
      <c r="BX160" s="36"/>
      <c r="BY160" s="6"/>
    </row>
    <row r="161" spans="1:77">
      <c r="A161" s="57"/>
      <c r="B161" s="19"/>
      <c r="C161" s="16"/>
      <c r="D161" s="16"/>
      <c r="E161" s="17"/>
      <c r="F161" s="16"/>
      <c r="G161" s="16"/>
      <c r="H161" s="16"/>
      <c r="I161" s="16"/>
      <c r="J161" s="1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5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16"/>
      <c r="BJ161" s="16"/>
      <c r="BK161" s="16"/>
      <c r="BL161" s="48"/>
      <c r="BM161" s="48"/>
      <c r="BN161" s="48"/>
      <c r="BO161" s="48"/>
      <c r="BP161" s="48"/>
      <c r="BQ161" s="48"/>
      <c r="BR161" s="36"/>
      <c r="BS161" s="36"/>
      <c r="BT161" s="36"/>
      <c r="BU161" s="36"/>
      <c r="BV161" s="36"/>
      <c r="BW161" s="36"/>
      <c r="BX161" s="36"/>
      <c r="BY161" s="6"/>
    </row>
    <row r="162" spans="1:77">
      <c r="A162" s="57"/>
      <c r="B162" s="12"/>
      <c r="C162" s="13"/>
      <c r="D162" s="13"/>
      <c r="E162" s="14"/>
      <c r="F162" s="13"/>
      <c r="G162" s="13"/>
      <c r="H162" s="13"/>
      <c r="I162" s="13"/>
      <c r="J162" s="13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13"/>
      <c r="BJ162" s="13"/>
      <c r="BK162" s="13"/>
      <c r="BL162" s="46"/>
      <c r="BM162" s="46"/>
      <c r="BN162" s="46"/>
      <c r="BO162" s="46"/>
      <c r="BP162" s="46"/>
      <c r="BQ162" s="46"/>
      <c r="BR162" s="34"/>
      <c r="BS162" s="34"/>
      <c r="BT162" s="34"/>
      <c r="BU162" s="34"/>
      <c r="BV162" s="34"/>
      <c r="BW162" s="34"/>
      <c r="BX162" s="34"/>
      <c r="BY162" s="4"/>
    </row>
    <row r="163" spans="1:77">
      <c r="A163" s="57"/>
      <c r="B163" s="12"/>
      <c r="C163" s="13"/>
      <c r="D163" s="13"/>
      <c r="E163" s="14"/>
      <c r="F163" s="13"/>
      <c r="G163" s="13"/>
      <c r="H163" s="13"/>
      <c r="I163" s="13"/>
      <c r="J163" s="13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13"/>
      <c r="BJ163" s="13"/>
      <c r="BK163" s="13"/>
      <c r="BL163" s="46"/>
      <c r="BM163" s="46"/>
      <c r="BN163" s="46"/>
      <c r="BO163" s="46"/>
      <c r="BP163" s="46"/>
      <c r="BQ163" s="46"/>
      <c r="BR163" s="34"/>
      <c r="BS163" s="34"/>
      <c r="BT163" s="34"/>
      <c r="BU163" s="34"/>
      <c r="BV163" s="34"/>
      <c r="BW163" s="34"/>
      <c r="BX163" s="34"/>
      <c r="BY163" s="4"/>
    </row>
    <row r="164" spans="1:77">
      <c r="A164" s="57"/>
      <c r="B164" s="12"/>
      <c r="C164" s="13"/>
      <c r="D164" s="13"/>
      <c r="E164" s="14"/>
      <c r="F164" s="13"/>
      <c r="G164" s="13"/>
      <c r="H164" s="13"/>
      <c r="I164" s="13"/>
      <c r="J164" s="13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13"/>
      <c r="BJ164" s="13"/>
      <c r="BK164" s="13"/>
      <c r="BL164" s="46"/>
      <c r="BM164" s="46"/>
      <c r="BN164" s="46"/>
      <c r="BO164" s="46"/>
      <c r="BP164" s="46"/>
      <c r="BQ164" s="46"/>
      <c r="BR164" s="34"/>
      <c r="BS164" s="34"/>
      <c r="BT164" s="34"/>
      <c r="BU164" s="34"/>
      <c r="BV164" s="34"/>
      <c r="BW164" s="34"/>
      <c r="BX164" s="34"/>
      <c r="BY164" s="4"/>
    </row>
    <row r="165" spans="1:77">
      <c r="A165" s="57"/>
      <c r="B165" s="12"/>
      <c r="C165" s="13"/>
      <c r="D165" s="13"/>
      <c r="E165" s="14"/>
      <c r="F165" s="13"/>
      <c r="G165" s="13"/>
      <c r="H165" s="13"/>
      <c r="I165" s="13"/>
      <c r="J165" s="13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13"/>
      <c r="BJ165" s="13"/>
      <c r="BK165" s="13"/>
      <c r="BL165" s="46"/>
      <c r="BM165" s="46"/>
      <c r="BN165" s="46"/>
      <c r="BO165" s="46"/>
      <c r="BP165" s="46"/>
      <c r="BQ165" s="46"/>
      <c r="BR165" s="34"/>
      <c r="BS165" s="34"/>
      <c r="BT165" s="34"/>
      <c r="BU165" s="34"/>
      <c r="BV165" s="34"/>
      <c r="BW165" s="34"/>
      <c r="BX165" s="34"/>
      <c r="BY165" s="4"/>
    </row>
    <row r="166" spans="1:77">
      <c r="A166" s="57"/>
      <c r="B166" s="13"/>
      <c r="C166" s="13"/>
      <c r="D166" s="13"/>
      <c r="E166" s="14"/>
      <c r="F166" s="13"/>
      <c r="G166" s="13"/>
      <c r="H166" s="13"/>
      <c r="I166" s="13"/>
      <c r="J166" s="13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13"/>
      <c r="BJ166" s="13"/>
      <c r="BK166" s="13"/>
      <c r="BL166" s="46"/>
      <c r="BM166" s="46"/>
      <c r="BN166" s="46"/>
      <c r="BO166" s="46"/>
      <c r="BP166" s="46"/>
      <c r="BQ166" s="46"/>
      <c r="BR166" s="34"/>
      <c r="BS166" s="34"/>
      <c r="BT166" s="34"/>
      <c r="BU166" s="34"/>
      <c r="BV166" s="34"/>
      <c r="BW166" s="34"/>
      <c r="BX166" s="34"/>
      <c r="BY166" s="4"/>
    </row>
    <row r="167" spans="1:77">
      <c r="A167" s="57"/>
      <c r="B167" s="13"/>
      <c r="C167" s="13"/>
      <c r="D167" s="13"/>
      <c r="E167" s="14"/>
      <c r="F167" s="13"/>
      <c r="G167" s="13"/>
      <c r="H167" s="13"/>
      <c r="I167" s="13"/>
      <c r="J167" s="13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13"/>
      <c r="BJ167" s="13"/>
      <c r="BK167" s="13"/>
      <c r="BL167" s="46"/>
      <c r="BM167" s="46"/>
      <c r="BN167" s="46"/>
      <c r="BO167" s="46"/>
      <c r="BP167" s="46"/>
      <c r="BQ167" s="46"/>
      <c r="BR167" s="34"/>
      <c r="BS167" s="34"/>
      <c r="BT167" s="34"/>
      <c r="BU167" s="34"/>
      <c r="BV167" s="34"/>
      <c r="BW167" s="34"/>
      <c r="BX167" s="34"/>
      <c r="BY167" s="4"/>
    </row>
    <row r="168" spans="1:77">
      <c r="A168" s="1" t="s">
        <v>76</v>
      </c>
      <c r="B168" s="13"/>
      <c r="C168" s="13"/>
      <c r="D168" s="13"/>
      <c r="E168" s="14">
        <f>SUM(E95:E167)</f>
        <v>0</v>
      </c>
      <c r="F168" s="13"/>
      <c r="G168" s="13">
        <f t="shared" ref="G168:N168" si="3">SUM(G95:G167)</f>
        <v>0</v>
      </c>
      <c r="H168" s="13">
        <f t="shared" si="3"/>
        <v>0</v>
      </c>
      <c r="I168" s="13">
        <f t="shared" si="3"/>
        <v>0</v>
      </c>
      <c r="J168" s="13">
        <f t="shared" si="3"/>
        <v>0</v>
      </c>
      <c r="K168" s="37">
        <f t="shared" si="3"/>
        <v>0</v>
      </c>
      <c r="L168" s="34">
        <f t="shared" si="3"/>
        <v>0</v>
      </c>
      <c r="M168" s="34">
        <f t="shared" si="3"/>
        <v>0</v>
      </c>
      <c r="N168" s="34">
        <f t="shared" si="3"/>
        <v>0</v>
      </c>
      <c r="O168" s="34"/>
      <c r="P168" s="34">
        <f t="shared" ref="P168:U168" si="4">SUM(P95:P167)</f>
        <v>0</v>
      </c>
      <c r="Q168" s="34">
        <f t="shared" si="4"/>
        <v>0</v>
      </c>
      <c r="R168" s="34">
        <f t="shared" si="4"/>
        <v>0</v>
      </c>
      <c r="S168" s="34">
        <f t="shared" si="4"/>
        <v>0</v>
      </c>
      <c r="T168" s="34">
        <f t="shared" si="4"/>
        <v>0</v>
      </c>
      <c r="U168" s="34">
        <f t="shared" si="4"/>
        <v>0</v>
      </c>
      <c r="V168" s="34"/>
      <c r="W168" s="34">
        <f t="shared" ref="W168:BB168" si="5">SUM(W95:W167)</f>
        <v>0</v>
      </c>
      <c r="X168" s="3">
        <f t="shared" si="5"/>
        <v>0</v>
      </c>
      <c r="Y168" s="39">
        <f t="shared" si="5"/>
        <v>0</v>
      </c>
      <c r="Z168" s="39">
        <f t="shared" si="5"/>
        <v>0</v>
      </c>
      <c r="AA168" s="39">
        <f t="shared" si="5"/>
        <v>0</v>
      </c>
      <c r="AB168" s="39">
        <f t="shared" si="5"/>
        <v>0</v>
      </c>
      <c r="AC168" s="39">
        <f t="shared" si="5"/>
        <v>0</v>
      </c>
      <c r="AD168" s="39">
        <f t="shared" si="5"/>
        <v>0</v>
      </c>
      <c r="AE168" s="39">
        <f t="shared" si="5"/>
        <v>0</v>
      </c>
      <c r="AF168" s="39">
        <f t="shared" si="5"/>
        <v>0</v>
      </c>
      <c r="AG168" s="39">
        <f t="shared" si="5"/>
        <v>0</v>
      </c>
      <c r="AH168" s="39">
        <f t="shared" si="5"/>
        <v>0</v>
      </c>
      <c r="AI168" s="39">
        <f t="shared" si="5"/>
        <v>0</v>
      </c>
      <c r="AJ168" s="39">
        <f t="shared" si="5"/>
        <v>0</v>
      </c>
      <c r="AK168" s="39">
        <f t="shared" si="5"/>
        <v>0</v>
      </c>
      <c r="AL168" s="39">
        <f t="shared" si="5"/>
        <v>0</v>
      </c>
      <c r="AM168" s="28">
        <f t="shared" si="5"/>
        <v>0</v>
      </c>
      <c r="AN168" s="28">
        <f t="shared" si="5"/>
        <v>0</v>
      </c>
      <c r="AO168" s="28">
        <f t="shared" si="5"/>
        <v>0</v>
      </c>
      <c r="AP168" s="28">
        <f t="shared" si="5"/>
        <v>0</v>
      </c>
      <c r="AQ168" s="28">
        <f t="shared" si="5"/>
        <v>0</v>
      </c>
      <c r="AR168" s="28">
        <f t="shared" si="5"/>
        <v>0</v>
      </c>
      <c r="AS168" s="28">
        <f t="shared" si="5"/>
        <v>0</v>
      </c>
      <c r="AT168" s="28">
        <f t="shared" si="5"/>
        <v>0</v>
      </c>
      <c r="AU168" s="28">
        <f t="shared" si="5"/>
        <v>0</v>
      </c>
      <c r="AV168" s="28">
        <f t="shared" si="5"/>
        <v>0</v>
      </c>
      <c r="AW168" s="28">
        <f t="shared" si="5"/>
        <v>0</v>
      </c>
      <c r="AX168" s="43">
        <f t="shared" si="5"/>
        <v>0</v>
      </c>
      <c r="AY168" s="43">
        <f t="shared" si="5"/>
        <v>0</v>
      </c>
      <c r="AZ168" s="43">
        <f t="shared" si="5"/>
        <v>0</v>
      </c>
      <c r="BA168" s="43">
        <f t="shared" si="5"/>
        <v>0</v>
      </c>
      <c r="BB168" s="43">
        <f t="shared" si="5"/>
        <v>0</v>
      </c>
      <c r="BC168" s="43">
        <f t="shared" ref="BC168:BW168" si="6">SUM(BC95:BC167)</f>
        <v>0</v>
      </c>
      <c r="BD168" s="43">
        <f t="shared" si="6"/>
        <v>0</v>
      </c>
      <c r="BE168" s="43">
        <f t="shared" si="6"/>
        <v>0</v>
      </c>
      <c r="BF168" s="43">
        <f t="shared" si="6"/>
        <v>0</v>
      </c>
      <c r="BG168" s="43">
        <f t="shared" si="6"/>
        <v>0</v>
      </c>
      <c r="BH168" s="43">
        <f t="shared" si="6"/>
        <v>0</v>
      </c>
      <c r="BI168" s="13">
        <f t="shared" si="6"/>
        <v>0</v>
      </c>
      <c r="BJ168" s="13">
        <f t="shared" si="6"/>
        <v>0</v>
      </c>
      <c r="BK168" s="13">
        <f t="shared" si="6"/>
        <v>0</v>
      </c>
      <c r="BL168" s="46">
        <f t="shared" si="6"/>
        <v>0</v>
      </c>
      <c r="BM168" s="46">
        <f t="shared" si="6"/>
        <v>0</v>
      </c>
      <c r="BN168" s="46">
        <f t="shared" si="6"/>
        <v>0</v>
      </c>
      <c r="BO168" s="46">
        <f t="shared" si="6"/>
        <v>0</v>
      </c>
      <c r="BP168" s="46">
        <f t="shared" si="6"/>
        <v>0</v>
      </c>
      <c r="BQ168" s="46">
        <f t="shared" si="6"/>
        <v>0</v>
      </c>
      <c r="BR168" s="34">
        <f t="shared" si="6"/>
        <v>0</v>
      </c>
      <c r="BS168" s="34">
        <f t="shared" si="6"/>
        <v>0</v>
      </c>
      <c r="BT168" s="34">
        <f t="shared" si="6"/>
        <v>0</v>
      </c>
      <c r="BU168" s="34">
        <f t="shared" si="6"/>
        <v>0</v>
      </c>
      <c r="BV168" s="34">
        <f t="shared" si="6"/>
        <v>0</v>
      </c>
      <c r="BW168" s="34">
        <f t="shared" si="6"/>
        <v>0</v>
      </c>
      <c r="BX168" s="34"/>
      <c r="BY168" s="4"/>
    </row>
    <row r="169" spans="1:77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18"/>
      <c r="BJ169" s="18"/>
      <c r="BK169" s="18"/>
      <c r="BL169" s="47"/>
      <c r="BM169" s="47"/>
      <c r="BN169" s="47"/>
      <c r="BO169" s="47"/>
      <c r="BP169" s="47"/>
      <c r="BQ169" s="47"/>
      <c r="BR169" s="35"/>
      <c r="BS169" s="35"/>
      <c r="BT169" s="35"/>
      <c r="BU169" s="35"/>
      <c r="BV169" s="35"/>
      <c r="BW169" s="35"/>
      <c r="BX169" s="35"/>
    </row>
    <row r="170" spans="1:77" ht="159.6">
      <c r="A170" s="2" t="s">
        <v>77</v>
      </c>
      <c r="B170" s="11" t="s">
        <v>1</v>
      </c>
      <c r="C170" s="11" t="s">
        <v>2</v>
      </c>
      <c r="D170" s="11" t="s">
        <v>3</v>
      </c>
      <c r="E170" s="11" t="s">
        <v>4</v>
      </c>
      <c r="F170" s="11" t="s">
        <v>5</v>
      </c>
      <c r="G170" s="11" t="s">
        <v>6</v>
      </c>
      <c r="H170" s="11" t="s">
        <v>7</v>
      </c>
      <c r="I170" s="11" t="s">
        <v>8</v>
      </c>
      <c r="J170" s="11" t="s">
        <v>84</v>
      </c>
      <c r="K170" s="33" t="s">
        <v>10</v>
      </c>
      <c r="L170" s="33" t="s">
        <v>11</v>
      </c>
      <c r="M170" s="33" t="s">
        <v>12</v>
      </c>
      <c r="N170" s="33" t="s">
        <v>13</v>
      </c>
      <c r="O170" s="33" t="s">
        <v>14</v>
      </c>
      <c r="P170" s="33" t="s">
        <v>15</v>
      </c>
      <c r="Q170" s="33" t="s">
        <v>16</v>
      </c>
      <c r="R170" s="33" t="s">
        <v>17</v>
      </c>
      <c r="S170" s="33" t="s">
        <v>18</v>
      </c>
      <c r="T170" s="33" t="s">
        <v>79</v>
      </c>
      <c r="U170" s="33" t="s">
        <v>20</v>
      </c>
      <c r="V170" s="33" t="s">
        <v>21</v>
      </c>
      <c r="W170" s="33" t="s">
        <v>85</v>
      </c>
      <c r="X170" s="9" t="s">
        <v>80</v>
      </c>
      <c r="Y170" s="38" t="s">
        <v>24</v>
      </c>
      <c r="Z170" s="38" t="s">
        <v>25</v>
      </c>
      <c r="AA170" s="38" t="s">
        <v>26</v>
      </c>
      <c r="AB170" s="38" t="s">
        <v>81</v>
      </c>
      <c r="AC170" s="38" t="s">
        <v>28</v>
      </c>
      <c r="AD170" s="38" t="s">
        <v>29</v>
      </c>
      <c r="AE170" s="38" t="s">
        <v>30</v>
      </c>
      <c r="AF170" s="38" t="s">
        <v>31</v>
      </c>
      <c r="AG170" s="38" t="s">
        <v>32</v>
      </c>
      <c r="AH170" s="38" t="s">
        <v>33</v>
      </c>
      <c r="AI170" s="38" t="s">
        <v>34</v>
      </c>
      <c r="AJ170" s="38" t="s">
        <v>35</v>
      </c>
      <c r="AK170" s="38" t="s">
        <v>36</v>
      </c>
      <c r="AL170" s="38" t="s">
        <v>37</v>
      </c>
      <c r="AM170" s="27" t="s">
        <v>38</v>
      </c>
      <c r="AN170" s="27" t="s">
        <v>39</v>
      </c>
      <c r="AO170" s="27" t="s">
        <v>40</v>
      </c>
      <c r="AP170" s="27" t="s">
        <v>41</v>
      </c>
      <c r="AQ170" s="27" t="s">
        <v>42</v>
      </c>
      <c r="AR170" s="27" t="s">
        <v>43</v>
      </c>
      <c r="AS170" s="27" t="s">
        <v>44</v>
      </c>
      <c r="AT170" s="27" t="s">
        <v>45</v>
      </c>
      <c r="AU170" s="27" t="s">
        <v>46</v>
      </c>
      <c r="AV170" s="27" t="s">
        <v>47</v>
      </c>
      <c r="AW170" s="27" t="s">
        <v>37</v>
      </c>
      <c r="AX170" s="42" t="s">
        <v>48</v>
      </c>
      <c r="AY170" s="42" t="s">
        <v>49</v>
      </c>
      <c r="AZ170" s="42" t="s">
        <v>50</v>
      </c>
      <c r="BA170" s="42" t="s">
        <v>51</v>
      </c>
      <c r="BB170" s="42" t="s">
        <v>52</v>
      </c>
      <c r="BC170" s="42" t="s">
        <v>53</v>
      </c>
      <c r="BD170" s="42" t="s">
        <v>54</v>
      </c>
      <c r="BE170" s="42" t="s">
        <v>55</v>
      </c>
      <c r="BF170" s="42" t="s">
        <v>56</v>
      </c>
      <c r="BG170" s="42" t="s">
        <v>57</v>
      </c>
      <c r="BH170" s="42" t="s">
        <v>58</v>
      </c>
      <c r="BI170" s="11" t="s">
        <v>28</v>
      </c>
      <c r="BJ170" s="11" t="s">
        <v>59</v>
      </c>
      <c r="BK170" s="11" t="s">
        <v>60</v>
      </c>
      <c r="BL170" s="32" t="s">
        <v>61</v>
      </c>
      <c r="BM170" s="32" t="s">
        <v>62</v>
      </c>
      <c r="BN170" s="32" t="s">
        <v>63</v>
      </c>
      <c r="BO170" s="32" t="s">
        <v>64</v>
      </c>
      <c r="BP170" s="32" t="s">
        <v>65</v>
      </c>
      <c r="BQ170" s="32" t="s">
        <v>66</v>
      </c>
      <c r="BR170" s="33" t="s">
        <v>67</v>
      </c>
      <c r="BS170" s="33" t="s">
        <v>68</v>
      </c>
      <c r="BT170" s="33" t="s">
        <v>69</v>
      </c>
      <c r="BU170" s="33" t="s">
        <v>70</v>
      </c>
      <c r="BV170" s="33" t="s">
        <v>71</v>
      </c>
      <c r="BW170" s="33" t="s">
        <v>82</v>
      </c>
      <c r="BX170" s="33" t="s">
        <v>73</v>
      </c>
      <c r="BY170" s="10" t="s">
        <v>74</v>
      </c>
    </row>
    <row r="171" spans="1:77">
      <c r="A171" s="57" t="s">
        <v>86</v>
      </c>
      <c r="B171" s="15"/>
      <c r="C171" s="13"/>
      <c r="D171" s="13"/>
      <c r="E171" s="14"/>
      <c r="F171" s="13"/>
      <c r="G171" s="13"/>
      <c r="H171" s="13"/>
      <c r="I171" s="13"/>
      <c r="J171" s="13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13"/>
      <c r="BJ171" s="13"/>
      <c r="BK171" s="13"/>
      <c r="BL171" s="46"/>
      <c r="BM171" s="46"/>
      <c r="BN171" s="46"/>
      <c r="BO171" s="46"/>
      <c r="BP171" s="46"/>
      <c r="BQ171" s="46"/>
      <c r="BR171" s="34"/>
      <c r="BS171" s="34"/>
      <c r="BT171" s="34"/>
      <c r="BU171" s="34"/>
      <c r="BV171" s="34"/>
      <c r="BW171" s="34"/>
      <c r="BX171" s="34"/>
      <c r="BY171" s="4"/>
    </row>
    <row r="172" spans="1:77">
      <c r="A172" s="57"/>
      <c r="B172" s="13"/>
      <c r="C172" s="13"/>
      <c r="D172" s="13"/>
      <c r="E172" s="14"/>
      <c r="F172" s="13"/>
      <c r="G172" s="13"/>
      <c r="H172" s="13"/>
      <c r="I172" s="13"/>
      <c r="J172" s="13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13"/>
      <c r="BJ172" s="13"/>
      <c r="BK172" s="13"/>
      <c r="BL172" s="46"/>
      <c r="BM172" s="46"/>
      <c r="BN172" s="46"/>
      <c r="BO172" s="46"/>
      <c r="BP172" s="46"/>
      <c r="BQ172" s="46"/>
      <c r="BR172" s="34"/>
      <c r="BS172" s="34"/>
      <c r="BT172" s="34"/>
      <c r="BU172" s="34"/>
      <c r="BV172" s="34"/>
      <c r="BW172" s="34"/>
      <c r="BX172" s="34"/>
      <c r="BY172" s="4"/>
    </row>
    <row r="173" spans="1:77">
      <c r="A173" s="57"/>
      <c r="B173" s="13"/>
      <c r="C173" s="13"/>
      <c r="D173" s="13"/>
      <c r="E173" s="14"/>
      <c r="F173" s="13"/>
      <c r="G173" s="13"/>
      <c r="H173" s="13"/>
      <c r="I173" s="13"/>
      <c r="J173" s="13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13"/>
      <c r="BJ173" s="13"/>
      <c r="BK173" s="13"/>
      <c r="BL173" s="46"/>
      <c r="BM173" s="46"/>
      <c r="BN173" s="46"/>
      <c r="BO173" s="46"/>
      <c r="BP173" s="46"/>
      <c r="BQ173" s="46"/>
      <c r="BR173" s="34"/>
      <c r="BS173" s="34"/>
      <c r="BT173" s="34"/>
      <c r="BU173" s="34"/>
      <c r="BV173" s="34"/>
      <c r="BW173" s="34"/>
      <c r="BX173" s="34"/>
      <c r="BY173" s="4"/>
    </row>
    <row r="174" spans="1:77">
      <c r="A174" s="57"/>
      <c r="B174" s="12"/>
      <c r="C174" s="13"/>
      <c r="D174" s="13"/>
      <c r="E174" s="14"/>
      <c r="F174" s="13"/>
      <c r="G174" s="13"/>
      <c r="H174" s="13"/>
      <c r="I174" s="13"/>
      <c r="J174" s="13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13"/>
      <c r="BJ174" s="13"/>
      <c r="BK174" s="13"/>
      <c r="BL174" s="46"/>
      <c r="BM174" s="46"/>
      <c r="BN174" s="46"/>
      <c r="BO174" s="46"/>
      <c r="BP174" s="46"/>
      <c r="BQ174" s="46"/>
      <c r="BR174" s="34"/>
      <c r="BS174" s="34"/>
      <c r="BT174" s="34"/>
      <c r="BU174" s="34"/>
      <c r="BV174" s="34"/>
      <c r="BW174" s="34"/>
      <c r="BX174" s="34"/>
      <c r="BY174" s="4"/>
    </row>
    <row r="175" spans="1:77">
      <c r="A175" s="57"/>
      <c r="B175" s="13"/>
      <c r="C175" s="13"/>
      <c r="D175" s="13"/>
      <c r="E175" s="14"/>
      <c r="F175" s="13"/>
      <c r="G175" s="13"/>
      <c r="H175" s="13"/>
      <c r="I175" s="13"/>
      <c r="J175" s="13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13"/>
      <c r="BJ175" s="13"/>
      <c r="BK175" s="13"/>
      <c r="BL175" s="46"/>
      <c r="BM175" s="46"/>
      <c r="BN175" s="46"/>
      <c r="BO175" s="46"/>
      <c r="BP175" s="46"/>
      <c r="BQ175" s="46"/>
      <c r="BR175" s="34"/>
      <c r="BS175" s="34"/>
      <c r="BT175" s="34"/>
      <c r="BU175" s="34"/>
      <c r="BV175" s="34"/>
      <c r="BW175" s="34"/>
      <c r="BX175" s="34"/>
      <c r="BY175" s="4"/>
    </row>
    <row r="176" spans="1:77">
      <c r="A176" s="57"/>
      <c r="B176" s="12"/>
      <c r="C176" s="13"/>
      <c r="D176" s="13"/>
      <c r="E176" s="14"/>
      <c r="F176" s="13"/>
      <c r="G176" s="13"/>
      <c r="H176" s="13"/>
      <c r="I176" s="13"/>
      <c r="J176" s="13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13"/>
      <c r="BJ176" s="13"/>
      <c r="BK176" s="13"/>
      <c r="BL176" s="46"/>
      <c r="BM176" s="46"/>
      <c r="BN176" s="46"/>
      <c r="BO176" s="46"/>
      <c r="BP176" s="46"/>
      <c r="BQ176" s="46"/>
      <c r="BR176" s="34"/>
      <c r="BS176" s="34"/>
      <c r="BT176" s="34"/>
      <c r="BU176" s="34"/>
      <c r="BV176" s="34"/>
      <c r="BW176" s="34"/>
      <c r="BX176" s="34"/>
      <c r="BY176" s="4"/>
    </row>
    <row r="177" spans="1:77">
      <c r="A177" s="57"/>
      <c r="B177" s="12"/>
      <c r="C177" s="13"/>
      <c r="D177" s="13"/>
      <c r="E177" s="14"/>
      <c r="F177" s="13"/>
      <c r="G177" s="13"/>
      <c r="H177" s="13"/>
      <c r="I177" s="13"/>
      <c r="J177" s="13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13"/>
      <c r="BJ177" s="13"/>
      <c r="BK177" s="13"/>
      <c r="BL177" s="46"/>
      <c r="BM177" s="46"/>
      <c r="BN177" s="46"/>
      <c r="BO177" s="46"/>
      <c r="BP177" s="46"/>
      <c r="BQ177" s="46"/>
      <c r="BR177" s="34"/>
      <c r="BS177" s="34"/>
      <c r="BT177" s="34"/>
      <c r="BU177" s="34"/>
      <c r="BV177" s="34"/>
      <c r="BW177" s="34"/>
      <c r="BX177" s="34"/>
      <c r="BY177" s="4"/>
    </row>
    <row r="178" spans="1:77">
      <c r="A178" s="57"/>
      <c r="B178" s="13"/>
      <c r="C178" s="13"/>
      <c r="D178" s="13"/>
      <c r="E178" s="14"/>
      <c r="F178" s="13"/>
      <c r="G178" s="13"/>
      <c r="H178" s="13"/>
      <c r="I178" s="13"/>
      <c r="J178" s="13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13"/>
      <c r="BJ178" s="13"/>
      <c r="BK178" s="13"/>
      <c r="BL178" s="46"/>
      <c r="BM178" s="46"/>
      <c r="BN178" s="46"/>
      <c r="BO178" s="46"/>
      <c r="BP178" s="46"/>
      <c r="BQ178" s="46"/>
      <c r="BR178" s="34"/>
      <c r="BS178" s="34"/>
      <c r="BT178" s="34"/>
      <c r="BU178" s="34"/>
      <c r="BV178" s="34"/>
      <c r="BW178" s="34"/>
      <c r="BX178" s="34"/>
      <c r="BY178" s="4"/>
    </row>
    <row r="179" spans="1:77">
      <c r="A179" s="57"/>
      <c r="B179" s="12"/>
      <c r="C179" s="13"/>
      <c r="D179" s="13"/>
      <c r="E179" s="14"/>
      <c r="F179" s="13"/>
      <c r="G179" s="13"/>
      <c r="H179" s="13"/>
      <c r="I179" s="13"/>
      <c r="J179" s="13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13"/>
      <c r="BJ179" s="13"/>
      <c r="BK179" s="13"/>
      <c r="BL179" s="46"/>
      <c r="BM179" s="46"/>
      <c r="BN179" s="46"/>
      <c r="BO179" s="46"/>
      <c r="BP179" s="46"/>
      <c r="BQ179" s="46"/>
      <c r="BR179" s="34"/>
      <c r="BS179" s="34"/>
      <c r="BT179" s="34"/>
      <c r="BU179" s="34"/>
      <c r="BV179" s="34"/>
      <c r="BW179" s="34"/>
      <c r="BX179" s="34"/>
      <c r="BY179" s="4"/>
    </row>
    <row r="180" spans="1:77">
      <c r="A180" s="57"/>
      <c r="B180" s="12"/>
      <c r="C180" s="13"/>
      <c r="D180" s="13"/>
      <c r="E180" s="14"/>
      <c r="F180" s="13"/>
      <c r="G180" s="13"/>
      <c r="H180" s="13"/>
      <c r="I180" s="13"/>
      <c r="J180" s="13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13"/>
      <c r="BJ180" s="13"/>
      <c r="BK180" s="13"/>
      <c r="BL180" s="46"/>
      <c r="BM180" s="46"/>
      <c r="BN180" s="46"/>
      <c r="BO180" s="46"/>
      <c r="BP180" s="46"/>
      <c r="BQ180" s="46"/>
      <c r="BR180" s="34"/>
      <c r="BS180" s="34"/>
      <c r="BT180" s="34"/>
      <c r="BU180" s="34"/>
      <c r="BV180" s="34"/>
      <c r="BW180" s="34"/>
      <c r="BX180" s="34"/>
      <c r="BY180" s="4"/>
    </row>
    <row r="181" spans="1:77">
      <c r="A181" s="57"/>
      <c r="B181" s="13"/>
      <c r="C181" s="13"/>
      <c r="D181" s="13"/>
      <c r="E181" s="14"/>
      <c r="F181" s="13"/>
      <c r="G181" s="13"/>
      <c r="H181" s="13"/>
      <c r="I181" s="13"/>
      <c r="J181" s="13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13"/>
      <c r="BJ181" s="13"/>
      <c r="BK181" s="13"/>
      <c r="BL181" s="46"/>
      <c r="BM181" s="46"/>
      <c r="BN181" s="46"/>
      <c r="BO181" s="46"/>
      <c r="BP181" s="46"/>
      <c r="BQ181" s="46"/>
      <c r="BR181" s="34"/>
      <c r="BS181" s="34"/>
      <c r="BT181" s="34"/>
      <c r="BU181" s="34"/>
      <c r="BV181" s="34"/>
      <c r="BW181" s="34"/>
      <c r="BX181" s="34"/>
      <c r="BY181" s="4"/>
    </row>
    <row r="182" spans="1:77">
      <c r="A182" s="57"/>
      <c r="B182" s="13"/>
      <c r="C182" s="13"/>
      <c r="D182" s="13"/>
      <c r="E182" s="14"/>
      <c r="F182" s="13"/>
      <c r="G182" s="13"/>
      <c r="H182" s="13"/>
      <c r="I182" s="13"/>
      <c r="J182" s="13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13"/>
      <c r="BJ182" s="13"/>
      <c r="BK182" s="13"/>
      <c r="BL182" s="46"/>
      <c r="BM182" s="46"/>
      <c r="BN182" s="46"/>
      <c r="BO182" s="46"/>
      <c r="BP182" s="46"/>
      <c r="BQ182" s="46"/>
      <c r="BR182" s="34"/>
      <c r="BS182" s="34"/>
      <c r="BT182" s="34"/>
      <c r="BU182" s="34"/>
      <c r="BV182" s="34"/>
      <c r="BW182" s="34"/>
      <c r="BX182" s="34"/>
      <c r="BY182" s="4"/>
    </row>
    <row r="183" spans="1:77">
      <c r="A183" s="57"/>
      <c r="B183" s="25"/>
      <c r="C183" s="13"/>
      <c r="D183" s="13"/>
      <c r="E183" s="14"/>
      <c r="F183" s="13"/>
      <c r="G183" s="13"/>
      <c r="H183" s="13"/>
      <c r="I183" s="13"/>
      <c r="J183" s="13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13"/>
      <c r="BJ183" s="13"/>
      <c r="BK183" s="13"/>
      <c r="BL183" s="46"/>
      <c r="BM183" s="46"/>
      <c r="BN183" s="46"/>
      <c r="BO183" s="46"/>
      <c r="BP183" s="46"/>
      <c r="BQ183" s="46"/>
      <c r="BR183" s="34"/>
      <c r="BS183" s="34"/>
      <c r="BT183" s="34"/>
      <c r="BU183" s="34"/>
      <c r="BV183" s="34"/>
      <c r="BW183" s="34"/>
      <c r="BX183" s="34"/>
      <c r="BY183" s="4"/>
    </row>
    <row r="184" spans="1:77">
      <c r="A184" s="57"/>
      <c r="B184" s="12"/>
      <c r="C184" s="13"/>
      <c r="D184" s="13"/>
      <c r="E184" s="14"/>
      <c r="F184" s="13"/>
      <c r="G184" s="13"/>
      <c r="H184" s="13"/>
      <c r="I184" s="13"/>
      <c r="J184" s="13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13"/>
      <c r="BJ184" s="13"/>
      <c r="BK184" s="13"/>
      <c r="BL184" s="46"/>
      <c r="BM184" s="46"/>
      <c r="BN184" s="46"/>
      <c r="BO184" s="46"/>
      <c r="BP184" s="46"/>
      <c r="BQ184" s="46"/>
      <c r="BR184" s="34"/>
      <c r="BS184" s="34"/>
      <c r="BT184" s="34"/>
      <c r="BU184" s="34"/>
      <c r="BV184" s="34"/>
      <c r="BW184" s="34"/>
      <c r="BX184" s="34"/>
      <c r="BY184" s="4"/>
    </row>
    <row r="185" spans="1:77">
      <c r="A185" s="57"/>
      <c r="B185" s="12"/>
      <c r="C185" s="13"/>
      <c r="D185" s="13"/>
      <c r="E185" s="14"/>
      <c r="F185" s="13"/>
      <c r="G185" s="13"/>
      <c r="H185" s="13"/>
      <c r="I185" s="13"/>
      <c r="J185" s="13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13"/>
      <c r="BJ185" s="13"/>
      <c r="BK185" s="13"/>
      <c r="BL185" s="46"/>
      <c r="BM185" s="46"/>
      <c r="BN185" s="46"/>
      <c r="BO185" s="46"/>
      <c r="BP185" s="46"/>
      <c r="BQ185" s="46"/>
      <c r="BR185" s="34"/>
      <c r="BS185" s="34"/>
      <c r="BT185" s="34"/>
      <c r="BU185" s="34"/>
      <c r="BV185" s="34"/>
      <c r="BW185" s="34"/>
      <c r="BX185" s="34"/>
      <c r="BY185" s="4"/>
    </row>
    <row r="186" spans="1:77">
      <c r="A186" s="57"/>
      <c r="B186" s="13"/>
      <c r="C186" s="13"/>
      <c r="D186" s="13"/>
      <c r="E186" s="14"/>
      <c r="F186" s="13"/>
      <c r="G186" s="13"/>
      <c r="H186" s="13"/>
      <c r="I186" s="13"/>
      <c r="J186" s="13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13"/>
      <c r="BJ186" s="13"/>
      <c r="BK186" s="13"/>
      <c r="BL186" s="46"/>
      <c r="BM186" s="46"/>
      <c r="BN186" s="46"/>
      <c r="BO186" s="46"/>
      <c r="BP186" s="46"/>
      <c r="BQ186" s="46"/>
      <c r="BR186" s="34"/>
      <c r="BS186" s="34"/>
      <c r="BT186" s="34"/>
      <c r="BU186" s="34"/>
      <c r="BV186" s="34"/>
      <c r="BW186" s="34"/>
      <c r="BX186" s="34"/>
      <c r="BY186" s="4"/>
    </row>
    <row r="187" spans="1:77">
      <c r="A187" s="57"/>
      <c r="B187" s="12"/>
      <c r="C187" s="13"/>
      <c r="D187" s="13"/>
      <c r="E187" s="14"/>
      <c r="F187" s="13"/>
      <c r="G187" s="13"/>
      <c r="H187" s="13"/>
      <c r="I187" s="13"/>
      <c r="J187" s="13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13"/>
      <c r="BJ187" s="13"/>
      <c r="BK187" s="13"/>
      <c r="BL187" s="46"/>
      <c r="BM187" s="46"/>
      <c r="BN187" s="46"/>
      <c r="BO187" s="46"/>
      <c r="BP187" s="46"/>
      <c r="BQ187" s="46"/>
      <c r="BR187" s="34"/>
      <c r="BS187" s="34"/>
      <c r="BT187" s="34"/>
      <c r="BU187" s="34"/>
      <c r="BV187" s="34"/>
      <c r="BW187" s="34"/>
      <c r="BX187" s="34"/>
      <c r="BY187" s="4"/>
    </row>
    <row r="188" spans="1:77">
      <c r="A188" s="57"/>
      <c r="B188" s="12"/>
      <c r="C188" s="13"/>
      <c r="D188" s="13"/>
      <c r="E188" s="14"/>
      <c r="F188" s="13"/>
      <c r="G188" s="13"/>
      <c r="H188" s="13"/>
      <c r="I188" s="13"/>
      <c r="J188" s="13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13"/>
      <c r="BJ188" s="13"/>
      <c r="BK188" s="13"/>
      <c r="BL188" s="46"/>
      <c r="BM188" s="46"/>
      <c r="BN188" s="46"/>
      <c r="BO188" s="46"/>
      <c r="BP188" s="46"/>
      <c r="BQ188" s="46"/>
      <c r="BR188" s="34"/>
      <c r="BS188" s="34"/>
      <c r="BT188" s="34"/>
      <c r="BU188" s="34"/>
      <c r="BV188" s="34"/>
      <c r="BW188" s="34"/>
      <c r="BX188" s="34"/>
      <c r="BY188" s="4"/>
    </row>
    <row r="189" spans="1:77">
      <c r="A189" s="57"/>
      <c r="B189" s="12"/>
      <c r="C189" s="13"/>
      <c r="D189" s="13"/>
      <c r="E189" s="14"/>
      <c r="F189" s="13"/>
      <c r="G189" s="13"/>
      <c r="H189" s="13"/>
      <c r="I189" s="13"/>
      <c r="J189" s="13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13"/>
      <c r="BJ189" s="13"/>
      <c r="BK189" s="13"/>
      <c r="BL189" s="46"/>
      <c r="BM189" s="46"/>
      <c r="BN189" s="46"/>
      <c r="BO189" s="46"/>
      <c r="BP189" s="46"/>
      <c r="BQ189" s="46"/>
      <c r="BR189" s="34"/>
      <c r="BS189" s="34"/>
      <c r="BT189" s="34"/>
      <c r="BU189" s="34"/>
      <c r="BV189" s="34"/>
      <c r="BW189" s="34"/>
      <c r="BX189" s="34"/>
      <c r="BY189" s="4"/>
    </row>
    <row r="190" spans="1:77">
      <c r="A190" s="57"/>
      <c r="B190" s="13"/>
      <c r="C190" s="13"/>
      <c r="D190" s="13"/>
      <c r="E190" s="14"/>
      <c r="F190" s="13"/>
      <c r="G190" s="13"/>
      <c r="H190" s="13"/>
      <c r="I190" s="13"/>
      <c r="J190" s="13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13"/>
      <c r="BJ190" s="13"/>
      <c r="BK190" s="13"/>
      <c r="BL190" s="46"/>
      <c r="BM190" s="46"/>
      <c r="BN190" s="46"/>
      <c r="BO190" s="46"/>
      <c r="BP190" s="46"/>
      <c r="BQ190" s="46"/>
      <c r="BR190" s="34"/>
      <c r="BS190" s="34"/>
      <c r="BT190" s="34"/>
      <c r="BU190" s="34"/>
      <c r="BV190" s="34"/>
      <c r="BW190" s="34"/>
      <c r="BX190" s="34"/>
      <c r="BY190" s="4"/>
    </row>
    <row r="191" spans="1:77">
      <c r="A191" s="57"/>
      <c r="B191" s="12"/>
      <c r="C191" s="13"/>
      <c r="D191" s="13"/>
      <c r="E191" s="14"/>
      <c r="F191" s="13"/>
      <c r="G191" s="13"/>
      <c r="H191" s="13"/>
      <c r="I191" s="13"/>
      <c r="J191" s="13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13"/>
      <c r="BJ191" s="13"/>
      <c r="BK191" s="13"/>
      <c r="BL191" s="46"/>
      <c r="BM191" s="46"/>
      <c r="BN191" s="46"/>
      <c r="BO191" s="46"/>
      <c r="BP191" s="46"/>
      <c r="BQ191" s="46"/>
      <c r="BR191" s="34"/>
      <c r="BS191" s="34"/>
      <c r="BT191" s="34"/>
      <c r="BU191" s="34"/>
      <c r="BV191" s="34"/>
      <c r="BW191" s="34"/>
      <c r="BX191" s="34"/>
      <c r="BY191" s="4"/>
    </row>
    <row r="192" spans="1:77">
      <c r="A192" s="57"/>
      <c r="B192" s="13"/>
      <c r="C192" s="13"/>
      <c r="D192" s="13"/>
      <c r="E192" s="14"/>
      <c r="F192" s="13"/>
      <c r="G192" s="13"/>
      <c r="H192" s="13"/>
      <c r="I192" s="13"/>
      <c r="J192" s="13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13"/>
      <c r="BJ192" s="13"/>
      <c r="BK192" s="13"/>
      <c r="BL192" s="46"/>
      <c r="BM192" s="46"/>
      <c r="BN192" s="46"/>
      <c r="BO192" s="46"/>
      <c r="BP192" s="46"/>
      <c r="BQ192" s="46"/>
      <c r="BR192" s="34"/>
      <c r="BS192" s="34"/>
      <c r="BT192" s="34"/>
      <c r="BU192" s="34"/>
      <c r="BV192" s="34"/>
      <c r="BW192" s="34"/>
      <c r="BX192" s="34"/>
      <c r="BY192" s="4"/>
    </row>
    <row r="193" spans="1:77">
      <c r="A193" s="57"/>
      <c r="B193" s="12"/>
      <c r="C193" s="13"/>
      <c r="D193" s="13"/>
      <c r="E193" s="14"/>
      <c r="F193" s="13"/>
      <c r="G193" s="13"/>
      <c r="H193" s="13"/>
      <c r="I193" s="13"/>
      <c r="J193" s="13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13"/>
      <c r="BJ193" s="13"/>
      <c r="BK193" s="13"/>
      <c r="BL193" s="46"/>
      <c r="BM193" s="46"/>
      <c r="BN193" s="46"/>
      <c r="BO193" s="46"/>
      <c r="BP193" s="46"/>
      <c r="BQ193" s="46"/>
      <c r="BR193" s="34"/>
      <c r="BS193" s="34"/>
      <c r="BT193" s="34"/>
      <c r="BU193" s="34"/>
      <c r="BV193" s="34"/>
      <c r="BW193" s="34"/>
      <c r="BX193" s="34"/>
      <c r="BY193" s="4"/>
    </row>
    <row r="194" spans="1:77">
      <c r="A194" s="57"/>
      <c r="B194" s="13"/>
      <c r="C194" s="13"/>
      <c r="D194" s="13"/>
      <c r="E194" s="14"/>
      <c r="F194" s="13"/>
      <c r="G194" s="13"/>
      <c r="H194" s="13"/>
      <c r="I194" s="13"/>
      <c r="J194" s="13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13"/>
      <c r="BJ194" s="13"/>
      <c r="BK194" s="13"/>
      <c r="BL194" s="46"/>
      <c r="BM194" s="46"/>
      <c r="BN194" s="46"/>
      <c r="BO194" s="46"/>
      <c r="BP194" s="46"/>
      <c r="BQ194" s="46"/>
      <c r="BR194" s="34"/>
      <c r="BS194" s="34"/>
      <c r="BT194" s="34"/>
      <c r="BU194" s="34"/>
      <c r="BV194" s="34"/>
      <c r="BW194" s="34"/>
      <c r="BX194" s="34"/>
      <c r="BY194" s="4"/>
    </row>
    <row r="195" spans="1:77">
      <c r="A195" s="57"/>
      <c r="B195" s="13"/>
      <c r="C195" s="13"/>
      <c r="D195" s="13"/>
      <c r="E195" s="14"/>
      <c r="F195" s="13"/>
      <c r="G195" s="13"/>
      <c r="H195" s="13"/>
      <c r="I195" s="13"/>
      <c r="J195" s="13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13"/>
      <c r="BJ195" s="13"/>
      <c r="BK195" s="13"/>
      <c r="BL195" s="46"/>
      <c r="BM195" s="46"/>
      <c r="BN195" s="46"/>
      <c r="BO195" s="46"/>
      <c r="BP195" s="46"/>
      <c r="BQ195" s="46"/>
      <c r="BR195" s="34"/>
      <c r="BS195" s="34"/>
      <c r="BT195" s="34"/>
      <c r="BU195" s="34"/>
      <c r="BV195" s="34"/>
      <c r="BW195" s="34"/>
      <c r="BX195" s="34"/>
      <c r="BY195" s="4"/>
    </row>
    <row r="196" spans="1:77">
      <c r="A196" s="57"/>
      <c r="B196" s="13"/>
      <c r="C196" s="13"/>
      <c r="D196" s="13"/>
      <c r="E196" s="14"/>
      <c r="F196" s="13"/>
      <c r="G196" s="13"/>
      <c r="H196" s="13"/>
      <c r="I196" s="13"/>
      <c r="J196" s="13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13"/>
      <c r="BJ196" s="13"/>
      <c r="BK196" s="13"/>
      <c r="BL196" s="46"/>
      <c r="BM196" s="46"/>
      <c r="BN196" s="46"/>
      <c r="BO196" s="46"/>
      <c r="BP196" s="46"/>
      <c r="BQ196" s="46"/>
      <c r="BR196" s="34"/>
      <c r="BS196" s="34"/>
      <c r="BT196" s="34"/>
      <c r="BU196" s="34"/>
      <c r="BV196" s="34"/>
      <c r="BW196" s="34"/>
      <c r="BX196" s="34"/>
      <c r="BY196" s="4"/>
    </row>
    <row r="197" spans="1:77">
      <c r="A197" s="57"/>
      <c r="B197" s="12"/>
      <c r="C197" s="13"/>
      <c r="D197" s="13"/>
      <c r="E197" s="14"/>
      <c r="F197" s="13"/>
      <c r="G197" s="13"/>
      <c r="H197" s="13"/>
      <c r="I197" s="13"/>
      <c r="J197" s="13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13"/>
      <c r="BJ197" s="13"/>
      <c r="BK197" s="13"/>
      <c r="BL197" s="46"/>
      <c r="BM197" s="46"/>
      <c r="BN197" s="46"/>
      <c r="BO197" s="46"/>
      <c r="BP197" s="46"/>
      <c r="BQ197" s="46"/>
      <c r="BR197" s="34"/>
      <c r="BS197" s="34"/>
      <c r="BT197" s="34"/>
      <c r="BU197" s="34"/>
      <c r="BV197" s="34"/>
      <c r="BW197" s="34"/>
      <c r="BX197" s="34"/>
      <c r="BY197" s="4"/>
    </row>
    <row r="198" spans="1:77">
      <c r="A198" s="57"/>
      <c r="B198" s="13"/>
      <c r="C198" s="13"/>
      <c r="D198" s="13"/>
      <c r="E198" s="14"/>
      <c r="F198" s="13"/>
      <c r="G198" s="13"/>
      <c r="H198" s="13"/>
      <c r="I198" s="13"/>
      <c r="J198" s="13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13"/>
      <c r="BJ198" s="13"/>
      <c r="BK198" s="13"/>
      <c r="BL198" s="46"/>
      <c r="BM198" s="46"/>
      <c r="BN198" s="46"/>
      <c r="BO198" s="46"/>
      <c r="BP198" s="46"/>
      <c r="BQ198" s="46"/>
      <c r="BR198" s="34"/>
      <c r="BS198" s="34"/>
      <c r="BT198" s="34"/>
      <c r="BU198" s="34"/>
      <c r="BV198" s="34"/>
      <c r="BW198" s="34"/>
      <c r="BX198" s="34"/>
      <c r="BY198" s="4"/>
    </row>
    <row r="199" spans="1:77">
      <c r="A199" s="57"/>
      <c r="B199" s="12"/>
      <c r="C199" s="13"/>
      <c r="D199" s="13"/>
      <c r="E199" s="14"/>
      <c r="F199" s="13"/>
      <c r="G199" s="13"/>
      <c r="H199" s="13"/>
      <c r="I199" s="13"/>
      <c r="J199" s="13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13"/>
      <c r="BJ199" s="13"/>
      <c r="BK199" s="13"/>
      <c r="BL199" s="46"/>
      <c r="BM199" s="46"/>
      <c r="BN199" s="46"/>
      <c r="BO199" s="46"/>
      <c r="BP199" s="46"/>
      <c r="BQ199" s="46"/>
      <c r="BR199" s="34"/>
      <c r="BS199" s="34"/>
      <c r="BT199" s="34"/>
      <c r="BU199" s="34"/>
      <c r="BV199" s="34"/>
      <c r="BW199" s="34"/>
      <c r="BX199" s="34"/>
      <c r="BY199" s="4"/>
    </row>
    <row r="200" spans="1:77">
      <c r="A200" s="57"/>
      <c r="B200" s="12"/>
      <c r="C200" s="13"/>
      <c r="D200" s="13"/>
      <c r="E200" s="14"/>
      <c r="F200" s="13"/>
      <c r="G200" s="13"/>
      <c r="H200" s="13"/>
      <c r="I200" s="13"/>
      <c r="J200" s="13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13"/>
      <c r="BJ200" s="13"/>
      <c r="BK200" s="13"/>
      <c r="BL200" s="46"/>
      <c r="BM200" s="46"/>
      <c r="BN200" s="46"/>
      <c r="BO200" s="46"/>
      <c r="BP200" s="46"/>
      <c r="BQ200" s="46"/>
      <c r="BR200" s="34"/>
      <c r="BS200" s="34"/>
      <c r="BT200" s="34"/>
      <c r="BU200" s="34"/>
      <c r="BV200" s="34"/>
      <c r="BW200" s="34"/>
      <c r="BX200" s="34"/>
      <c r="BY200" s="4"/>
    </row>
    <row r="201" spans="1:77">
      <c r="A201" s="57"/>
      <c r="B201" s="12"/>
      <c r="C201" s="13"/>
      <c r="D201" s="13"/>
      <c r="E201" s="14"/>
      <c r="F201" s="13"/>
      <c r="G201" s="13"/>
      <c r="H201" s="13"/>
      <c r="I201" s="13"/>
      <c r="J201" s="13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13"/>
      <c r="BJ201" s="13"/>
      <c r="BK201" s="13"/>
      <c r="BL201" s="46"/>
      <c r="BM201" s="46"/>
      <c r="BN201" s="46"/>
      <c r="BO201" s="46"/>
      <c r="BP201" s="46"/>
      <c r="BQ201" s="46"/>
      <c r="BR201" s="34"/>
      <c r="BS201" s="34"/>
      <c r="BT201" s="34"/>
      <c r="BU201" s="34"/>
      <c r="BV201" s="34"/>
      <c r="BW201" s="34"/>
      <c r="BX201" s="34"/>
      <c r="BY201" s="4"/>
    </row>
    <row r="202" spans="1:77">
      <c r="A202" s="57"/>
      <c r="B202" s="12"/>
      <c r="C202" s="13"/>
      <c r="D202" s="13"/>
      <c r="E202" s="14"/>
      <c r="F202" s="13"/>
      <c r="G202" s="13"/>
      <c r="H202" s="13"/>
      <c r="I202" s="13"/>
      <c r="J202" s="13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13"/>
      <c r="BJ202" s="13"/>
      <c r="BK202" s="13"/>
      <c r="BL202" s="46"/>
      <c r="BM202" s="46"/>
      <c r="BN202" s="46"/>
      <c r="BO202" s="46"/>
      <c r="BP202" s="46"/>
      <c r="BQ202" s="46"/>
      <c r="BR202" s="34"/>
      <c r="BS202" s="34"/>
      <c r="BT202" s="34"/>
      <c r="BU202" s="34"/>
      <c r="BV202" s="34"/>
      <c r="BW202" s="34"/>
      <c r="BX202" s="34"/>
      <c r="BY202" s="4"/>
    </row>
    <row r="203" spans="1:77">
      <c r="A203" s="57"/>
      <c r="B203" s="12"/>
      <c r="C203" s="13"/>
      <c r="D203" s="13"/>
      <c r="E203" s="14"/>
      <c r="F203" s="13"/>
      <c r="G203" s="13"/>
      <c r="H203" s="13"/>
      <c r="I203" s="13"/>
      <c r="J203" s="13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13"/>
      <c r="BJ203" s="13"/>
      <c r="BK203" s="13"/>
      <c r="BL203" s="46"/>
      <c r="BM203" s="46"/>
      <c r="BN203" s="46"/>
      <c r="BO203" s="46"/>
      <c r="BP203" s="46"/>
      <c r="BQ203" s="46"/>
      <c r="BR203" s="34"/>
      <c r="BS203" s="34"/>
      <c r="BT203" s="34"/>
      <c r="BU203" s="34"/>
      <c r="BV203" s="34"/>
      <c r="BW203" s="34"/>
      <c r="BX203" s="34"/>
      <c r="BY203" s="4"/>
    </row>
    <row r="204" spans="1:77">
      <c r="A204" s="57"/>
      <c r="B204" s="12"/>
      <c r="C204" s="13"/>
      <c r="D204" s="13"/>
      <c r="E204" s="14"/>
      <c r="F204" s="13"/>
      <c r="G204" s="13"/>
      <c r="H204" s="13"/>
      <c r="I204" s="13"/>
      <c r="J204" s="13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13"/>
      <c r="BJ204" s="13"/>
      <c r="BK204" s="13"/>
      <c r="BL204" s="46"/>
      <c r="BM204" s="46"/>
      <c r="BN204" s="46"/>
      <c r="BO204" s="46"/>
      <c r="BP204" s="46"/>
      <c r="BQ204" s="46"/>
      <c r="BR204" s="34"/>
      <c r="BS204" s="34"/>
      <c r="BT204" s="34"/>
      <c r="BU204" s="34"/>
      <c r="BV204" s="34"/>
      <c r="BW204" s="34"/>
      <c r="BX204" s="34"/>
      <c r="BY204" s="4"/>
    </row>
    <row r="205" spans="1:77">
      <c r="A205" s="57"/>
      <c r="B205" s="12"/>
      <c r="C205" s="13"/>
      <c r="D205" s="13"/>
      <c r="E205" s="14"/>
      <c r="F205" s="13"/>
      <c r="G205" s="13"/>
      <c r="H205" s="13"/>
      <c r="I205" s="13"/>
      <c r="J205" s="13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13"/>
      <c r="BJ205" s="13"/>
      <c r="BK205" s="13"/>
      <c r="BL205" s="46"/>
      <c r="BM205" s="46"/>
      <c r="BN205" s="46"/>
      <c r="BO205" s="46"/>
      <c r="BP205" s="46"/>
      <c r="BQ205" s="46"/>
      <c r="BR205" s="34"/>
      <c r="BS205" s="34"/>
      <c r="BT205" s="34"/>
      <c r="BU205" s="34"/>
      <c r="BV205" s="34"/>
      <c r="BW205" s="34"/>
      <c r="BX205" s="34"/>
      <c r="BY205" s="4"/>
    </row>
    <row r="206" spans="1:77">
      <c r="A206" s="57"/>
      <c r="B206" s="12"/>
      <c r="C206" s="13"/>
      <c r="D206" s="13"/>
      <c r="E206" s="14"/>
      <c r="F206" s="13"/>
      <c r="G206" s="13"/>
      <c r="H206" s="13"/>
      <c r="I206" s="13"/>
      <c r="J206" s="13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13"/>
      <c r="BJ206" s="13"/>
      <c r="BK206" s="13"/>
      <c r="BL206" s="46"/>
      <c r="BM206" s="46"/>
      <c r="BN206" s="46"/>
      <c r="BO206" s="46"/>
      <c r="BP206" s="46"/>
      <c r="BQ206" s="46"/>
      <c r="BR206" s="34"/>
      <c r="BS206" s="34"/>
      <c r="BT206" s="34"/>
      <c r="BU206" s="34"/>
      <c r="BV206" s="34"/>
      <c r="BW206" s="34"/>
      <c r="BX206" s="34"/>
      <c r="BY206" s="4"/>
    </row>
    <row r="207" spans="1:77">
      <c r="A207" s="57"/>
      <c r="B207" s="12"/>
      <c r="C207" s="13"/>
      <c r="D207" s="13"/>
      <c r="E207" s="14"/>
      <c r="F207" s="13"/>
      <c r="G207" s="13"/>
      <c r="H207" s="13"/>
      <c r="I207" s="13"/>
      <c r="J207" s="13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13"/>
      <c r="BJ207" s="13"/>
      <c r="BK207" s="13"/>
      <c r="BL207" s="46"/>
      <c r="BM207" s="46"/>
      <c r="BN207" s="46"/>
      <c r="BO207" s="46"/>
      <c r="BP207" s="46"/>
      <c r="BQ207" s="46"/>
      <c r="BR207" s="34"/>
      <c r="BS207" s="34"/>
      <c r="BT207" s="34"/>
      <c r="BU207" s="34"/>
      <c r="BV207" s="34"/>
      <c r="BW207" s="34"/>
      <c r="BX207" s="34"/>
      <c r="BY207" s="4"/>
    </row>
    <row r="208" spans="1:77">
      <c r="A208" s="57"/>
      <c r="B208" s="13"/>
      <c r="C208" s="13"/>
      <c r="D208" s="13"/>
      <c r="E208" s="14"/>
      <c r="F208" s="13"/>
      <c r="G208" s="13"/>
      <c r="H208" s="13"/>
      <c r="I208" s="13"/>
      <c r="J208" s="13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13"/>
      <c r="BJ208" s="13"/>
      <c r="BK208" s="13"/>
      <c r="BL208" s="46"/>
      <c r="BM208" s="46"/>
      <c r="BN208" s="46"/>
      <c r="BO208" s="46"/>
      <c r="BP208" s="46"/>
      <c r="BQ208" s="46"/>
      <c r="BR208" s="34"/>
      <c r="BS208" s="34"/>
      <c r="BT208" s="34"/>
      <c r="BU208" s="34"/>
      <c r="BV208" s="34"/>
      <c r="BW208" s="34"/>
      <c r="BX208" s="34"/>
      <c r="BY208" s="4"/>
    </row>
    <row r="209" spans="1:77">
      <c r="A209" s="57"/>
      <c r="B209" s="13"/>
      <c r="C209" s="13"/>
      <c r="D209" s="13"/>
      <c r="E209" s="14"/>
      <c r="F209" s="13"/>
      <c r="G209" s="13"/>
      <c r="H209" s="13"/>
      <c r="I209" s="13"/>
      <c r="J209" s="13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13"/>
      <c r="BJ209" s="13"/>
      <c r="BK209" s="13"/>
      <c r="BL209" s="46"/>
      <c r="BM209" s="46"/>
      <c r="BN209" s="46"/>
      <c r="BO209" s="46"/>
      <c r="BP209" s="46"/>
      <c r="BQ209" s="46"/>
      <c r="BR209" s="34"/>
      <c r="BS209" s="34"/>
      <c r="BT209" s="34"/>
      <c r="BU209" s="34"/>
      <c r="BV209" s="34"/>
      <c r="BW209" s="34"/>
      <c r="BX209" s="34"/>
      <c r="BY209" s="4"/>
    </row>
    <row r="210" spans="1:77">
      <c r="A210" s="57"/>
      <c r="B210" s="25"/>
      <c r="C210" s="13"/>
      <c r="D210" s="13"/>
      <c r="E210" s="14"/>
      <c r="F210" s="13"/>
      <c r="G210" s="13"/>
      <c r="H210" s="13"/>
      <c r="I210" s="13"/>
      <c r="J210" s="13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13"/>
      <c r="BJ210" s="13"/>
      <c r="BK210" s="13"/>
      <c r="BL210" s="46"/>
      <c r="BM210" s="46"/>
      <c r="BN210" s="46"/>
      <c r="BO210" s="46"/>
      <c r="BP210" s="46"/>
      <c r="BQ210" s="46"/>
      <c r="BR210" s="34"/>
      <c r="BS210" s="34"/>
      <c r="BT210" s="34"/>
      <c r="BU210" s="34"/>
      <c r="BV210" s="34"/>
      <c r="BW210" s="34"/>
      <c r="BX210" s="34"/>
      <c r="BY210" s="4"/>
    </row>
    <row r="211" spans="1:77">
      <c r="A211" s="57"/>
      <c r="B211" s="13"/>
      <c r="C211" s="13"/>
      <c r="D211" s="13"/>
      <c r="E211" s="14"/>
      <c r="F211" s="13"/>
      <c r="G211" s="13"/>
      <c r="H211" s="13"/>
      <c r="I211" s="13"/>
      <c r="J211" s="13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13"/>
      <c r="BJ211" s="13"/>
      <c r="BK211" s="13"/>
      <c r="BL211" s="46"/>
      <c r="BM211" s="46"/>
      <c r="BN211" s="46"/>
      <c r="BO211" s="46"/>
      <c r="BP211" s="46"/>
      <c r="BQ211" s="46"/>
      <c r="BR211" s="34"/>
      <c r="BS211" s="34"/>
      <c r="BT211" s="34"/>
      <c r="BU211" s="34"/>
      <c r="BV211" s="34"/>
      <c r="BW211" s="34"/>
      <c r="BX211" s="34"/>
      <c r="BY211" s="4"/>
    </row>
    <row r="212" spans="1:77">
      <c r="A212" s="57"/>
      <c r="B212" s="13"/>
      <c r="C212" s="13"/>
      <c r="D212" s="13"/>
      <c r="E212" s="14"/>
      <c r="F212" s="13"/>
      <c r="G212" s="13"/>
      <c r="H212" s="13"/>
      <c r="I212" s="13"/>
      <c r="J212" s="13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13"/>
      <c r="BJ212" s="13"/>
      <c r="BK212" s="13"/>
      <c r="BL212" s="46"/>
      <c r="BM212" s="46"/>
      <c r="BN212" s="46"/>
      <c r="BO212" s="46"/>
      <c r="BP212" s="46"/>
      <c r="BQ212" s="46"/>
      <c r="BR212" s="34"/>
      <c r="BS212" s="34"/>
      <c r="BT212" s="34"/>
      <c r="BU212" s="34"/>
      <c r="BV212" s="34"/>
      <c r="BW212" s="34"/>
      <c r="BX212" s="34"/>
      <c r="BY212" s="4"/>
    </row>
    <row r="213" spans="1:77">
      <c r="A213" s="57"/>
      <c r="B213" s="15"/>
      <c r="C213" s="13"/>
      <c r="D213" s="13"/>
      <c r="E213" s="14"/>
      <c r="F213" s="13"/>
      <c r="G213" s="13"/>
      <c r="H213" s="13"/>
      <c r="I213" s="13"/>
      <c r="J213" s="13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13"/>
      <c r="BJ213" s="13"/>
      <c r="BK213" s="13"/>
      <c r="BL213" s="46"/>
      <c r="BM213" s="46"/>
      <c r="BN213" s="46"/>
      <c r="BO213" s="46"/>
      <c r="BP213" s="46"/>
      <c r="BQ213" s="46"/>
      <c r="BR213" s="34"/>
      <c r="BS213" s="34"/>
      <c r="BT213" s="34"/>
      <c r="BU213" s="34"/>
      <c r="BV213" s="34"/>
      <c r="BW213" s="34"/>
      <c r="BX213" s="34"/>
      <c r="BY213" s="4"/>
    </row>
    <row r="214" spans="1:77">
      <c r="A214" s="57"/>
      <c r="B214" s="12"/>
      <c r="C214" s="13"/>
      <c r="D214" s="13"/>
      <c r="E214" s="14"/>
      <c r="F214" s="13"/>
      <c r="G214" s="13"/>
      <c r="H214" s="13"/>
      <c r="I214" s="13"/>
      <c r="J214" s="13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13"/>
      <c r="BJ214" s="13"/>
      <c r="BK214" s="13"/>
      <c r="BL214" s="46"/>
      <c r="BM214" s="46"/>
      <c r="BN214" s="46"/>
      <c r="BO214" s="46"/>
      <c r="BP214" s="46"/>
      <c r="BQ214" s="46"/>
      <c r="BR214" s="34"/>
      <c r="BS214" s="34"/>
      <c r="BT214" s="34"/>
      <c r="BU214" s="34"/>
      <c r="BV214" s="34"/>
      <c r="BW214" s="34"/>
      <c r="BX214" s="34"/>
      <c r="BY214" s="4"/>
    </row>
    <row r="215" spans="1:77">
      <c r="A215" s="57"/>
      <c r="B215" s="13"/>
      <c r="C215" s="13"/>
      <c r="D215" s="13"/>
      <c r="E215" s="14"/>
      <c r="F215" s="13"/>
      <c r="G215" s="13"/>
      <c r="H215" s="13"/>
      <c r="I215" s="13"/>
      <c r="J215" s="13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13"/>
      <c r="BJ215" s="13"/>
      <c r="BK215" s="13"/>
      <c r="BL215" s="46"/>
      <c r="BM215" s="46"/>
      <c r="BN215" s="46"/>
      <c r="BO215" s="46"/>
      <c r="BP215" s="46"/>
      <c r="BQ215" s="46"/>
      <c r="BR215" s="34"/>
      <c r="BS215" s="34"/>
      <c r="BT215" s="34"/>
      <c r="BU215" s="34"/>
      <c r="BV215" s="34"/>
      <c r="BW215" s="34"/>
      <c r="BX215" s="34"/>
      <c r="BY215" s="4"/>
    </row>
    <row r="216" spans="1:77">
      <c r="A216" s="57"/>
      <c r="B216" s="12"/>
      <c r="C216" s="13"/>
      <c r="D216" s="13"/>
      <c r="E216" s="14"/>
      <c r="F216" s="13"/>
      <c r="G216" s="13"/>
      <c r="H216" s="13"/>
      <c r="I216" s="13"/>
      <c r="J216" s="13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13"/>
      <c r="BJ216" s="13"/>
      <c r="BK216" s="13"/>
      <c r="BL216" s="46"/>
      <c r="BM216" s="46"/>
      <c r="BN216" s="46"/>
      <c r="BO216" s="46"/>
      <c r="BP216" s="46"/>
      <c r="BQ216" s="46"/>
      <c r="BR216" s="34"/>
      <c r="BS216" s="34"/>
      <c r="BT216" s="34"/>
      <c r="BU216" s="34"/>
      <c r="BV216" s="34"/>
      <c r="BW216" s="34"/>
      <c r="BX216" s="34"/>
      <c r="BY216" s="4"/>
    </row>
    <row r="217" spans="1:77">
      <c r="A217" s="57"/>
      <c r="B217" s="12"/>
      <c r="C217" s="13"/>
      <c r="D217" s="13"/>
      <c r="E217" s="14"/>
      <c r="F217" s="13"/>
      <c r="G217" s="13"/>
      <c r="H217" s="13"/>
      <c r="I217" s="13"/>
      <c r="J217" s="13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13"/>
      <c r="BJ217" s="13"/>
      <c r="BK217" s="13"/>
      <c r="BL217" s="46"/>
      <c r="BM217" s="46"/>
      <c r="BN217" s="46"/>
      <c r="BO217" s="46"/>
      <c r="BP217" s="46"/>
      <c r="BQ217" s="46"/>
      <c r="BR217" s="34"/>
      <c r="BS217" s="34"/>
      <c r="BT217" s="34"/>
      <c r="BU217" s="34"/>
      <c r="BV217" s="34"/>
      <c r="BW217" s="34"/>
      <c r="BX217" s="34"/>
      <c r="BY217" s="4"/>
    </row>
    <row r="218" spans="1:77">
      <c r="A218" s="57"/>
      <c r="B218" s="12"/>
      <c r="C218" s="13"/>
      <c r="D218" s="13"/>
      <c r="E218" s="14"/>
      <c r="F218" s="13"/>
      <c r="G218" s="13"/>
      <c r="H218" s="13"/>
      <c r="I218" s="13"/>
      <c r="J218" s="13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13"/>
      <c r="BJ218" s="13"/>
      <c r="BK218" s="13"/>
      <c r="BL218" s="46"/>
      <c r="BM218" s="46"/>
      <c r="BN218" s="46"/>
      <c r="BO218" s="46"/>
      <c r="BP218" s="46"/>
      <c r="BQ218" s="46"/>
      <c r="BR218" s="34"/>
      <c r="BS218" s="34"/>
      <c r="BT218" s="34"/>
      <c r="BU218" s="34"/>
      <c r="BV218" s="34"/>
      <c r="BW218" s="34"/>
      <c r="BX218" s="34"/>
      <c r="BY218" s="4"/>
    </row>
    <row r="219" spans="1:77">
      <c r="A219" s="57"/>
      <c r="B219" s="13"/>
      <c r="C219" s="13"/>
      <c r="D219" s="13"/>
      <c r="E219" s="14"/>
      <c r="F219" s="13"/>
      <c r="G219" s="13"/>
      <c r="H219" s="13"/>
      <c r="I219" s="13"/>
      <c r="J219" s="13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13"/>
      <c r="BJ219" s="13"/>
      <c r="BK219" s="13"/>
      <c r="BL219" s="46"/>
      <c r="BM219" s="46"/>
      <c r="BN219" s="46"/>
      <c r="BO219" s="46"/>
      <c r="BP219" s="46"/>
      <c r="BQ219" s="46"/>
      <c r="BR219" s="34"/>
      <c r="BS219" s="34"/>
      <c r="BT219" s="34"/>
      <c r="BU219" s="34"/>
      <c r="BV219" s="34"/>
      <c r="BW219" s="34"/>
      <c r="BX219" s="34"/>
      <c r="BY219" s="4"/>
    </row>
    <row r="220" spans="1:77">
      <c r="A220" s="57"/>
      <c r="B220" s="13"/>
      <c r="C220" s="13"/>
      <c r="D220" s="13"/>
      <c r="E220" s="14"/>
      <c r="F220" s="13"/>
      <c r="G220" s="13"/>
      <c r="H220" s="13"/>
      <c r="I220" s="13"/>
      <c r="J220" s="13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13"/>
      <c r="BJ220" s="13"/>
      <c r="BK220" s="13"/>
      <c r="BL220" s="46"/>
      <c r="BM220" s="46"/>
      <c r="BN220" s="46"/>
      <c r="BO220" s="46"/>
      <c r="BP220" s="46"/>
      <c r="BQ220" s="46"/>
      <c r="BR220" s="34"/>
      <c r="BS220" s="34"/>
      <c r="BT220" s="34"/>
      <c r="BU220" s="34"/>
      <c r="BV220" s="34"/>
      <c r="BW220" s="34"/>
      <c r="BX220" s="34"/>
      <c r="BY220" s="4"/>
    </row>
    <row r="221" spans="1:77">
      <c r="A221" s="57"/>
      <c r="B221" s="13"/>
      <c r="C221" s="13"/>
      <c r="D221" s="13"/>
      <c r="E221" s="14"/>
      <c r="F221" s="13"/>
      <c r="G221" s="13"/>
      <c r="H221" s="13"/>
      <c r="I221" s="13"/>
      <c r="J221" s="13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13"/>
      <c r="BJ221" s="13"/>
      <c r="BK221" s="13"/>
      <c r="BL221" s="46"/>
      <c r="BM221" s="46"/>
      <c r="BN221" s="46"/>
      <c r="BO221" s="46"/>
      <c r="BP221" s="46"/>
      <c r="BQ221" s="46"/>
      <c r="BR221" s="34"/>
      <c r="BS221" s="34"/>
      <c r="BT221" s="34"/>
      <c r="BU221" s="34"/>
      <c r="BV221" s="34"/>
      <c r="BW221" s="34"/>
      <c r="BX221" s="34"/>
      <c r="BY221" s="4"/>
    </row>
    <row r="222" spans="1:77">
      <c r="A222" s="57"/>
      <c r="B222" s="12"/>
      <c r="C222" s="13"/>
      <c r="D222" s="13"/>
      <c r="E222" s="14"/>
      <c r="F222" s="13"/>
      <c r="G222" s="13"/>
      <c r="H222" s="13"/>
      <c r="I222" s="13"/>
      <c r="J222" s="13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13"/>
      <c r="BJ222" s="13"/>
      <c r="BK222" s="13"/>
      <c r="BL222" s="46"/>
      <c r="BM222" s="46"/>
      <c r="BN222" s="46"/>
      <c r="BO222" s="46"/>
      <c r="BP222" s="46"/>
      <c r="BQ222" s="46"/>
      <c r="BR222" s="34"/>
      <c r="BS222" s="34"/>
      <c r="BT222" s="34"/>
      <c r="BU222" s="34"/>
      <c r="BV222" s="34"/>
      <c r="BW222" s="34"/>
      <c r="BX222" s="34"/>
      <c r="BY222" s="4"/>
    </row>
    <row r="223" spans="1:77">
      <c r="A223" s="57"/>
      <c r="B223" s="15"/>
      <c r="C223" s="13"/>
      <c r="D223" s="13"/>
      <c r="E223" s="14"/>
      <c r="F223" s="13"/>
      <c r="G223" s="13"/>
      <c r="H223" s="13"/>
      <c r="I223" s="13"/>
      <c r="J223" s="13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13"/>
      <c r="BJ223" s="13"/>
      <c r="BK223" s="13"/>
      <c r="BL223" s="46"/>
      <c r="BM223" s="46"/>
      <c r="BN223" s="46"/>
      <c r="BO223" s="46"/>
      <c r="BP223" s="46"/>
      <c r="BQ223" s="46"/>
      <c r="BR223" s="34"/>
      <c r="BS223" s="34"/>
      <c r="BT223" s="34"/>
      <c r="BU223" s="34"/>
      <c r="BV223" s="34"/>
      <c r="BW223" s="34"/>
      <c r="BX223" s="34"/>
      <c r="BY223" s="4"/>
    </row>
    <row r="224" spans="1:77">
      <c r="A224" s="57"/>
      <c r="B224" s="13"/>
      <c r="C224" s="13"/>
      <c r="D224" s="13"/>
      <c r="E224" s="14"/>
      <c r="F224" s="13"/>
      <c r="G224" s="13"/>
      <c r="H224" s="13"/>
      <c r="I224" s="13"/>
      <c r="J224" s="13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13"/>
      <c r="BJ224" s="13"/>
      <c r="BK224" s="13"/>
      <c r="BL224" s="46"/>
      <c r="BM224" s="46"/>
      <c r="BN224" s="46"/>
      <c r="BO224" s="46"/>
      <c r="BP224" s="46"/>
      <c r="BQ224" s="46"/>
      <c r="BR224" s="34"/>
      <c r="BS224" s="34"/>
      <c r="BT224" s="34"/>
      <c r="BU224" s="34"/>
      <c r="BV224" s="34"/>
      <c r="BW224" s="34"/>
      <c r="BX224" s="34"/>
      <c r="BY224" s="4"/>
    </row>
    <row r="225" spans="1:77">
      <c r="A225" s="57"/>
      <c r="B225" s="15"/>
      <c r="C225" s="13"/>
      <c r="D225" s="13"/>
      <c r="E225" s="14"/>
      <c r="F225" s="13"/>
      <c r="G225" s="13"/>
      <c r="H225" s="13"/>
      <c r="I225" s="13"/>
      <c r="J225" s="13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13"/>
      <c r="BJ225" s="13"/>
      <c r="BK225" s="13"/>
      <c r="BL225" s="46"/>
      <c r="BM225" s="46"/>
      <c r="BN225" s="46"/>
      <c r="BO225" s="46"/>
      <c r="BP225" s="46"/>
      <c r="BQ225" s="46"/>
      <c r="BR225" s="34"/>
      <c r="BS225" s="34"/>
      <c r="BT225" s="34"/>
      <c r="BU225" s="34"/>
      <c r="BV225" s="34"/>
      <c r="BW225" s="34"/>
      <c r="BX225" s="34"/>
      <c r="BY225" s="4"/>
    </row>
    <row r="226" spans="1:77">
      <c r="A226" s="57"/>
      <c r="B226" s="12"/>
      <c r="C226" s="13"/>
      <c r="D226" s="13"/>
      <c r="E226" s="14"/>
      <c r="F226" s="13"/>
      <c r="G226" s="13"/>
      <c r="H226" s="13"/>
      <c r="I226" s="13"/>
      <c r="J226" s="13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13"/>
      <c r="BJ226" s="13"/>
      <c r="BK226" s="13"/>
      <c r="BL226" s="46"/>
      <c r="BM226" s="46"/>
      <c r="BN226" s="46"/>
      <c r="BO226" s="46"/>
      <c r="BP226" s="46"/>
      <c r="BQ226" s="46"/>
      <c r="BR226" s="34"/>
      <c r="BS226" s="34"/>
      <c r="BT226" s="34"/>
      <c r="BU226" s="34"/>
      <c r="BV226" s="34"/>
      <c r="BW226" s="34"/>
      <c r="BX226" s="34"/>
      <c r="BY226" s="4"/>
    </row>
    <row r="227" spans="1:77">
      <c r="A227" s="57"/>
      <c r="B227" s="13"/>
      <c r="C227" s="13"/>
      <c r="D227" s="13"/>
      <c r="E227" s="14"/>
      <c r="F227" s="13"/>
      <c r="G227" s="13"/>
      <c r="H227" s="13"/>
      <c r="I227" s="13"/>
      <c r="J227" s="13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13"/>
      <c r="BJ227" s="13"/>
      <c r="BK227" s="13"/>
      <c r="BL227" s="46"/>
      <c r="BM227" s="46"/>
      <c r="BN227" s="46"/>
      <c r="BO227" s="46"/>
      <c r="BP227" s="46"/>
      <c r="BQ227" s="46"/>
      <c r="BR227" s="34"/>
      <c r="BS227" s="34"/>
      <c r="BT227" s="34"/>
      <c r="BU227" s="34"/>
      <c r="BV227" s="34"/>
      <c r="BW227" s="34"/>
      <c r="BX227" s="34"/>
      <c r="BY227" s="4"/>
    </row>
    <row r="228" spans="1:77">
      <c r="A228" s="57"/>
      <c r="B228" s="13"/>
      <c r="C228" s="13"/>
      <c r="D228" s="13"/>
      <c r="E228" s="14"/>
      <c r="F228" s="13"/>
      <c r="G228" s="13"/>
      <c r="H228" s="13"/>
      <c r="I228" s="13"/>
      <c r="J228" s="13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13"/>
      <c r="BJ228" s="13"/>
      <c r="BK228" s="13"/>
      <c r="BL228" s="46"/>
      <c r="BM228" s="46"/>
      <c r="BN228" s="46"/>
      <c r="BO228" s="46"/>
      <c r="BP228" s="46"/>
      <c r="BQ228" s="46"/>
      <c r="BR228" s="34"/>
      <c r="BS228" s="34"/>
      <c r="BT228" s="34"/>
      <c r="BU228" s="34"/>
      <c r="BV228" s="34"/>
      <c r="BW228" s="34"/>
      <c r="BX228" s="34"/>
      <c r="BY228" s="4"/>
    </row>
    <row r="229" spans="1:77">
      <c r="A229" s="57"/>
      <c r="B229" s="15"/>
      <c r="C229" s="13"/>
      <c r="D229" s="13"/>
      <c r="E229" s="14"/>
      <c r="F229" s="13"/>
      <c r="G229" s="13"/>
      <c r="H229" s="13"/>
      <c r="I229" s="13"/>
      <c r="J229" s="13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13"/>
      <c r="BJ229" s="13"/>
      <c r="BK229" s="13"/>
      <c r="BL229" s="46"/>
      <c r="BM229" s="46"/>
      <c r="BN229" s="46"/>
      <c r="BO229" s="46"/>
      <c r="BP229" s="46"/>
      <c r="BQ229" s="46"/>
      <c r="BR229" s="34"/>
      <c r="BS229" s="34"/>
      <c r="BT229" s="34"/>
      <c r="BU229" s="34"/>
      <c r="BV229" s="34"/>
      <c r="BW229" s="34"/>
      <c r="BX229" s="34"/>
      <c r="BY229" s="4"/>
    </row>
    <row r="230" spans="1:77">
      <c r="A230" s="57"/>
      <c r="B230" s="15"/>
      <c r="C230" s="13"/>
      <c r="D230" s="13"/>
      <c r="E230" s="14"/>
      <c r="F230" s="13"/>
      <c r="G230" s="13"/>
      <c r="H230" s="13"/>
      <c r="I230" s="13"/>
      <c r="J230" s="13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13"/>
      <c r="BJ230" s="13"/>
      <c r="BK230" s="13"/>
      <c r="BL230" s="46"/>
      <c r="BM230" s="46"/>
      <c r="BN230" s="46"/>
      <c r="BO230" s="46"/>
      <c r="BP230" s="46"/>
      <c r="BQ230" s="46"/>
      <c r="BR230" s="34"/>
      <c r="BS230" s="34"/>
      <c r="BT230" s="34"/>
      <c r="BU230" s="34"/>
      <c r="BV230" s="34"/>
      <c r="BW230" s="34"/>
      <c r="BX230" s="34"/>
      <c r="BY230" s="4"/>
    </row>
    <row r="231" spans="1:77">
      <c r="A231" s="57"/>
      <c r="B231" s="12"/>
      <c r="C231" s="13"/>
      <c r="D231" s="13"/>
      <c r="E231" s="14"/>
      <c r="F231" s="13"/>
      <c r="G231" s="13"/>
      <c r="H231" s="13"/>
      <c r="I231" s="13"/>
      <c r="J231" s="13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13"/>
      <c r="BJ231" s="13"/>
      <c r="BK231" s="13"/>
      <c r="BL231" s="46"/>
      <c r="BM231" s="46"/>
      <c r="BN231" s="46"/>
      <c r="BO231" s="46"/>
      <c r="BP231" s="46"/>
      <c r="BQ231" s="46"/>
      <c r="BR231" s="34"/>
      <c r="BS231" s="34"/>
      <c r="BT231" s="34"/>
      <c r="BU231" s="34"/>
      <c r="BV231" s="34"/>
      <c r="BW231" s="34"/>
      <c r="BX231" s="34"/>
      <c r="BY231" s="4"/>
    </row>
    <row r="232" spans="1:77">
      <c r="A232" s="57"/>
      <c r="B232" s="13"/>
      <c r="C232" s="13"/>
      <c r="D232" s="13"/>
      <c r="E232" s="14"/>
      <c r="F232" s="13"/>
      <c r="G232" s="13"/>
      <c r="H232" s="13"/>
      <c r="I232" s="13"/>
      <c r="J232" s="13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13"/>
      <c r="BJ232" s="13"/>
      <c r="BK232" s="13"/>
      <c r="BL232" s="46"/>
      <c r="BM232" s="46"/>
      <c r="BN232" s="46"/>
      <c r="BO232" s="46"/>
      <c r="BP232" s="46"/>
      <c r="BQ232" s="46"/>
      <c r="BR232" s="34"/>
      <c r="BS232" s="34"/>
      <c r="BT232" s="34"/>
      <c r="BU232" s="34"/>
      <c r="BV232" s="34"/>
      <c r="BW232" s="34"/>
      <c r="BX232" s="34"/>
      <c r="BY232" s="4"/>
    </row>
    <row r="233" spans="1:77">
      <c r="A233" s="57"/>
      <c r="B233" s="13"/>
      <c r="C233" s="13"/>
      <c r="D233" s="13"/>
      <c r="E233" s="14"/>
      <c r="F233" s="13"/>
      <c r="G233" s="13"/>
      <c r="H233" s="13"/>
      <c r="I233" s="13"/>
      <c r="J233" s="13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13"/>
      <c r="BJ233" s="13"/>
      <c r="BK233" s="13"/>
      <c r="BL233" s="46"/>
      <c r="BM233" s="46"/>
      <c r="BN233" s="46"/>
      <c r="BO233" s="46"/>
      <c r="BP233" s="46"/>
      <c r="BQ233" s="46"/>
      <c r="BR233" s="34"/>
      <c r="BS233" s="34"/>
      <c r="BT233" s="34"/>
      <c r="BU233" s="34"/>
      <c r="BV233" s="34"/>
      <c r="BW233" s="34"/>
      <c r="BX233" s="34"/>
      <c r="BY233" s="4"/>
    </row>
    <row r="234" spans="1:77">
      <c r="A234" s="57"/>
      <c r="B234" s="13"/>
      <c r="C234" s="13"/>
      <c r="D234" s="13"/>
      <c r="E234" s="14"/>
      <c r="F234" s="13"/>
      <c r="G234" s="13"/>
      <c r="H234" s="13"/>
      <c r="I234" s="13"/>
      <c r="J234" s="13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13"/>
      <c r="BJ234" s="13"/>
      <c r="BK234" s="13"/>
      <c r="BL234" s="46"/>
      <c r="BM234" s="46"/>
      <c r="BN234" s="46"/>
      <c r="BO234" s="46"/>
      <c r="BP234" s="46"/>
      <c r="BQ234" s="46"/>
      <c r="BR234" s="34"/>
      <c r="BS234" s="34"/>
      <c r="BT234" s="34"/>
      <c r="BU234" s="34"/>
      <c r="BV234" s="34"/>
      <c r="BW234" s="34"/>
      <c r="BX234" s="34"/>
      <c r="BY234" s="4"/>
    </row>
    <row r="235" spans="1:77">
      <c r="A235" s="57"/>
      <c r="B235" s="13"/>
      <c r="C235" s="13"/>
      <c r="D235" s="13"/>
      <c r="E235" s="14"/>
      <c r="F235" s="13"/>
      <c r="G235" s="13"/>
      <c r="H235" s="13"/>
      <c r="I235" s="13"/>
      <c r="J235" s="13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13"/>
      <c r="BJ235" s="13"/>
      <c r="BK235" s="13"/>
      <c r="BL235" s="46"/>
      <c r="BM235" s="46"/>
      <c r="BN235" s="46"/>
      <c r="BO235" s="46"/>
      <c r="BP235" s="46"/>
      <c r="BQ235" s="46"/>
      <c r="BR235" s="34"/>
      <c r="BS235" s="34"/>
      <c r="BT235" s="34"/>
      <c r="BU235" s="34"/>
      <c r="BV235" s="34"/>
      <c r="BW235" s="34"/>
      <c r="BX235" s="34"/>
      <c r="BY235" s="4"/>
    </row>
    <row r="236" spans="1:77">
      <c r="A236" s="57"/>
      <c r="B236" s="12"/>
      <c r="C236" s="13"/>
      <c r="D236" s="13"/>
      <c r="E236" s="14"/>
      <c r="F236" s="13"/>
      <c r="G236" s="13"/>
      <c r="H236" s="13"/>
      <c r="I236" s="13"/>
      <c r="J236" s="13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13"/>
      <c r="BJ236" s="13"/>
      <c r="BK236" s="13"/>
      <c r="BL236" s="46"/>
      <c r="BM236" s="46"/>
      <c r="BN236" s="46"/>
      <c r="BO236" s="46"/>
      <c r="BP236" s="46"/>
      <c r="BQ236" s="46"/>
      <c r="BR236" s="34"/>
      <c r="BS236" s="34"/>
      <c r="BT236" s="34"/>
      <c r="BU236" s="34"/>
      <c r="BV236" s="34"/>
      <c r="BW236" s="34"/>
      <c r="BX236" s="34"/>
      <c r="BY236" s="4"/>
    </row>
    <row r="237" spans="1:77">
      <c r="A237" s="57"/>
      <c r="B237" s="13"/>
      <c r="C237" s="13"/>
      <c r="D237" s="13"/>
      <c r="E237" s="14"/>
      <c r="F237" s="13"/>
      <c r="G237" s="13"/>
      <c r="H237" s="13"/>
      <c r="I237" s="13"/>
      <c r="J237" s="13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13"/>
      <c r="BJ237" s="13"/>
      <c r="BK237" s="13"/>
      <c r="BL237" s="46"/>
      <c r="BM237" s="46"/>
      <c r="BN237" s="46"/>
      <c r="BO237" s="46"/>
      <c r="BP237" s="46"/>
      <c r="BQ237" s="46"/>
      <c r="BR237" s="34"/>
      <c r="BS237" s="34"/>
      <c r="BT237" s="34"/>
      <c r="BU237" s="34"/>
      <c r="BV237" s="34"/>
      <c r="BW237" s="34"/>
      <c r="BX237" s="34"/>
      <c r="BY237" s="4"/>
    </row>
    <row r="238" spans="1:77">
      <c r="A238" s="57"/>
      <c r="B238" s="15"/>
      <c r="C238" s="13"/>
      <c r="D238" s="13"/>
      <c r="E238" s="14"/>
      <c r="F238" s="13"/>
      <c r="G238" s="13"/>
      <c r="H238" s="13"/>
      <c r="I238" s="13"/>
      <c r="J238" s="13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13"/>
      <c r="BJ238" s="13"/>
      <c r="BK238" s="13"/>
      <c r="BL238" s="46"/>
      <c r="BM238" s="46"/>
      <c r="BN238" s="46"/>
      <c r="BO238" s="46"/>
      <c r="BP238" s="46"/>
      <c r="BQ238" s="46"/>
      <c r="BR238" s="34"/>
      <c r="BS238" s="34"/>
      <c r="BT238" s="34"/>
      <c r="BU238" s="34"/>
      <c r="BV238" s="34"/>
      <c r="BW238" s="34"/>
      <c r="BX238" s="34"/>
      <c r="BY238" s="4"/>
    </row>
    <row r="239" spans="1:77">
      <c r="A239" s="57"/>
      <c r="B239" s="13"/>
      <c r="C239" s="13"/>
      <c r="D239" s="13"/>
      <c r="E239" s="14"/>
      <c r="F239" s="13"/>
      <c r="G239" s="13"/>
      <c r="H239" s="13"/>
      <c r="I239" s="13"/>
      <c r="J239" s="13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13"/>
      <c r="BJ239" s="13"/>
      <c r="BK239" s="13"/>
      <c r="BL239" s="46"/>
      <c r="BM239" s="46"/>
      <c r="BN239" s="46"/>
      <c r="BO239" s="46"/>
      <c r="BP239" s="46"/>
      <c r="BQ239" s="46"/>
      <c r="BR239" s="34"/>
      <c r="BS239" s="34"/>
      <c r="BT239" s="34"/>
      <c r="BU239" s="34"/>
      <c r="BV239" s="34"/>
      <c r="BW239" s="34"/>
      <c r="BX239" s="34"/>
      <c r="BY239" s="4"/>
    </row>
    <row r="240" spans="1:77">
      <c r="A240" s="57"/>
      <c r="B240" s="12"/>
      <c r="C240" s="13"/>
      <c r="D240" s="13"/>
      <c r="E240" s="14"/>
      <c r="F240" s="13"/>
      <c r="G240" s="13"/>
      <c r="H240" s="13"/>
      <c r="I240" s="13"/>
      <c r="J240" s="13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13"/>
      <c r="BJ240" s="13"/>
      <c r="BK240" s="13"/>
      <c r="BL240" s="46"/>
      <c r="BM240" s="46"/>
      <c r="BN240" s="46"/>
      <c r="BO240" s="46"/>
      <c r="BP240" s="46"/>
      <c r="BQ240" s="46"/>
      <c r="BR240" s="34"/>
      <c r="BS240" s="34"/>
      <c r="BT240" s="34"/>
      <c r="BU240" s="34"/>
      <c r="BV240" s="34"/>
      <c r="BW240" s="34"/>
      <c r="BX240" s="34"/>
      <c r="BY240" s="4"/>
    </row>
    <row r="241" spans="1:77">
      <c r="A241" s="57"/>
      <c r="B241" s="13"/>
      <c r="C241" s="13"/>
      <c r="D241" s="13"/>
      <c r="E241" s="14"/>
      <c r="F241" s="13"/>
      <c r="G241" s="13"/>
      <c r="H241" s="13"/>
      <c r="I241" s="13"/>
      <c r="J241" s="13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13"/>
      <c r="BJ241" s="13"/>
      <c r="BK241" s="13"/>
      <c r="BL241" s="46"/>
      <c r="BM241" s="46"/>
      <c r="BN241" s="46"/>
      <c r="BO241" s="46"/>
      <c r="BP241" s="46"/>
      <c r="BQ241" s="46"/>
      <c r="BR241" s="34"/>
      <c r="BS241" s="34"/>
      <c r="BT241" s="34"/>
      <c r="BU241" s="34"/>
      <c r="BV241" s="34"/>
      <c r="BW241" s="34"/>
      <c r="BX241" s="34"/>
      <c r="BY241" s="4"/>
    </row>
    <row r="242" spans="1:77">
      <c r="A242" s="57"/>
      <c r="B242" s="13"/>
      <c r="C242" s="13"/>
      <c r="D242" s="13"/>
      <c r="E242" s="14"/>
      <c r="F242" s="13"/>
      <c r="G242" s="13"/>
      <c r="H242" s="13"/>
      <c r="I242" s="13"/>
      <c r="J242" s="13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13"/>
      <c r="BJ242" s="13"/>
      <c r="BK242" s="13"/>
      <c r="BL242" s="46"/>
      <c r="BM242" s="46"/>
      <c r="BN242" s="46"/>
      <c r="BO242" s="46"/>
      <c r="BP242" s="46"/>
      <c r="BQ242" s="46"/>
      <c r="BR242" s="34"/>
      <c r="BS242" s="34"/>
      <c r="BT242" s="34"/>
      <c r="BU242" s="34"/>
      <c r="BV242" s="34"/>
      <c r="BW242" s="34"/>
      <c r="BX242" s="34"/>
      <c r="BY242" s="4"/>
    </row>
    <row r="243" spans="1:77">
      <c r="A243" s="57"/>
      <c r="B243" s="13"/>
      <c r="C243" s="13"/>
      <c r="D243" s="13"/>
      <c r="E243" s="14"/>
      <c r="F243" s="13"/>
      <c r="G243" s="13"/>
      <c r="H243" s="13"/>
      <c r="I243" s="13"/>
      <c r="J243" s="13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13"/>
      <c r="BJ243" s="13"/>
      <c r="BK243" s="13"/>
      <c r="BL243" s="46"/>
      <c r="BM243" s="46"/>
      <c r="BN243" s="46"/>
      <c r="BO243" s="46"/>
      <c r="BP243" s="46"/>
      <c r="BQ243" s="46"/>
      <c r="BR243" s="34"/>
      <c r="BS243" s="34"/>
      <c r="BT243" s="34"/>
      <c r="BU243" s="34"/>
      <c r="BV243" s="34"/>
      <c r="BW243" s="34"/>
      <c r="BX243" s="34"/>
      <c r="BY243" s="4"/>
    </row>
    <row r="244" spans="1:77">
      <c r="A244" s="57"/>
      <c r="B244" s="15"/>
      <c r="C244" s="13"/>
      <c r="D244" s="13"/>
      <c r="E244" s="14"/>
      <c r="F244" s="13"/>
      <c r="G244" s="13"/>
      <c r="H244" s="13"/>
      <c r="I244" s="13"/>
      <c r="J244" s="13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13"/>
      <c r="BJ244" s="13"/>
      <c r="BK244" s="13"/>
      <c r="BL244" s="46"/>
      <c r="BM244" s="46"/>
      <c r="BN244" s="46"/>
      <c r="BO244" s="46"/>
      <c r="BP244" s="46"/>
      <c r="BQ244" s="46"/>
      <c r="BR244" s="34"/>
      <c r="BS244" s="34"/>
      <c r="BT244" s="34"/>
      <c r="BU244" s="34"/>
      <c r="BV244" s="34"/>
      <c r="BW244" s="34"/>
      <c r="BX244" s="34"/>
      <c r="BY244" s="4"/>
    </row>
    <row r="245" spans="1:77">
      <c r="A245" s="57"/>
      <c r="B245" s="13"/>
      <c r="C245" s="13"/>
      <c r="D245" s="13"/>
      <c r="E245" s="14"/>
      <c r="F245" s="13"/>
      <c r="G245" s="13"/>
      <c r="H245" s="13"/>
      <c r="I245" s="13"/>
      <c r="J245" s="13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13"/>
      <c r="BJ245" s="13"/>
      <c r="BK245" s="13"/>
      <c r="BL245" s="46"/>
      <c r="BM245" s="46"/>
      <c r="BN245" s="46"/>
      <c r="BO245" s="46"/>
      <c r="BP245" s="46"/>
      <c r="BQ245" s="46"/>
      <c r="BR245" s="34"/>
      <c r="BS245" s="34"/>
      <c r="BT245" s="34"/>
      <c r="BU245" s="34"/>
      <c r="BV245" s="34"/>
      <c r="BW245" s="34"/>
      <c r="BX245" s="34"/>
      <c r="BY245" s="4"/>
    </row>
    <row r="246" spans="1:77">
      <c r="A246" s="57"/>
      <c r="B246" s="13"/>
      <c r="C246" s="13"/>
      <c r="D246" s="13"/>
      <c r="E246" s="14"/>
      <c r="F246" s="13"/>
      <c r="G246" s="13"/>
      <c r="H246" s="13"/>
      <c r="I246" s="13"/>
      <c r="J246" s="13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13"/>
      <c r="BJ246" s="13"/>
      <c r="BK246" s="13"/>
      <c r="BL246" s="46"/>
      <c r="BM246" s="46"/>
      <c r="BN246" s="46"/>
      <c r="BO246" s="46"/>
      <c r="BP246" s="46"/>
      <c r="BQ246" s="46"/>
      <c r="BR246" s="34"/>
      <c r="BS246" s="34"/>
      <c r="BT246" s="34"/>
      <c r="BU246" s="34"/>
      <c r="BV246" s="34"/>
      <c r="BW246" s="34"/>
      <c r="BX246" s="34"/>
      <c r="BY246" s="4"/>
    </row>
    <row r="247" spans="1:77">
      <c r="A247" s="57"/>
      <c r="B247" s="12"/>
      <c r="C247" s="13"/>
      <c r="D247" s="13"/>
      <c r="E247" s="14"/>
      <c r="F247" s="13"/>
      <c r="G247" s="13"/>
      <c r="H247" s="13"/>
      <c r="I247" s="13"/>
      <c r="J247" s="13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13"/>
      <c r="BJ247" s="13"/>
      <c r="BK247" s="13"/>
      <c r="BL247" s="46"/>
      <c r="BM247" s="46"/>
      <c r="BN247" s="46"/>
      <c r="BO247" s="46"/>
      <c r="BP247" s="46"/>
      <c r="BQ247" s="46"/>
      <c r="BR247" s="34"/>
      <c r="BS247" s="34"/>
      <c r="BT247" s="34"/>
      <c r="BU247" s="34"/>
      <c r="BV247" s="34"/>
      <c r="BW247" s="34"/>
      <c r="BX247" s="34"/>
      <c r="BY247" s="4"/>
    </row>
    <row r="248" spans="1:77">
      <c r="A248" s="57"/>
      <c r="B248" s="13"/>
      <c r="C248" s="13"/>
      <c r="D248" s="13"/>
      <c r="E248" s="14"/>
      <c r="F248" s="13"/>
      <c r="G248" s="13"/>
      <c r="H248" s="13"/>
      <c r="I248" s="13"/>
      <c r="J248" s="13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13"/>
      <c r="BJ248" s="13"/>
      <c r="BK248" s="13"/>
      <c r="BL248" s="46"/>
      <c r="BM248" s="46"/>
      <c r="BN248" s="46"/>
      <c r="BO248" s="46"/>
      <c r="BP248" s="46"/>
      <c r="BQ248" s="46"/>
      <c r="BR248" s="34"/>
      <c r="BS248" s="34"/>
      <c r="BT248" s="34"/>
      <c r="BU248" s="34"/>
      <c r="BV248" s="34"/>
      <c r="BW248" s="34"/>
      <c r="BX248" s="34"/>
      <c r="BY248" s="4"/>
    </row>
    <row r="249" spans="1:77">
      <c r="A249" s="57"/>
      <c r="B249" s="13"/>
      <c r="C249" s="13"/>
      <c r="D249" s="13"/>
      <c r="E249" s="14"/>
      <c r="F249" s="13"/>
      <c r="G249" s="13"/>
      <c r="H249" s="13"/>
      <c r="I249" s="13"/>
      <c r="J249" s="13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13"/>
      <c r="BJ249" s="13"/>
      <c r="BK249" s="13"/>
      <c r="BL249" s="46"/>
      <c r="BM249" s="46"/>
      <c r="BN249" s="46"/>
      <c r="BO249" s="46"/>
      <c r="BP249" s="46"/>
      <c r="BQ249" s="46"/>
      <c r="BR249" s="34"/>
      <c r="BS249" s="34"/>
      <c r="BT249" s="34"/>
      <c r="BU249" s="34"/>
      <c r="BV249" s="34"/>
      <c r="BW249" s="34"/>
      <c r="BX249" s="34"/>
      <c r="BY249" s="4"/>
    </row>
    <row r="250" spans="1:77">
      <c r="A250" s="57"/>
      <c r="B250" s="13"/>
      <c r="C250" s="13"/>
      <c r="D250" s="13"/>
      <c r="E250" s="14"/>
      <c r="F250" s="13"/>
      <c r="G250" s="13"/>
      <c r="H250" s="13"/>
      <c r="I250" s="13"/>
      <c r="J250" s="13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13"/>
      <c r="BJ250" s="13"/>
      <c r="BK250" s="13"/>
      <c r="BL250" s="46"/>
      <c r="BM250" s="46"/>
      <c r="BN250" s="46"/>
      <c r="BO250" s="46"/>
      <c r="BP250" s="46"/>
      <c r="BQ250" s="46"/>
      <c r="BR250" s="34"/>
      <c r="BS250" s="34"/>
      <c r="BT250" s="34"/>
      <c r="BU250" s="34"/>
      <c r="BV250" s="34"/>
      <c r="BW250" s="34"/>
      <c r="BX250" s="34"/>
      <c r="BY250" s="4"/>
    </row>
    <row r="251" spans="1:77">
      <c r="A251" s="57"/>
      <c r="B251" s="13"/>
      <c r="C251" s="13"/>
      <c r="D251" s="13"/>
      <c r="E251" s="14"/>
      <c r="F251" s="13"/>
      <c r="G251" s="13"/>
      <c r="H251" s="13"/>
      <c r="I251" s="13"/>
      <c r="J251" s="13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13"/>
      <c r="BJ251" s="13"/>
      <c r="BK251" s="13"/>
      <c r="BL251" s="46"/>
      <c r="BM251" s="46"/>
      <c r="BN251" s="46"/>
      <c r="BO251" s="46"/>
      <c r="BP251" s="46"/>
      <c r="BQ251" s="46"/>
      <c r="BR251" s="34"/>
      <c r="BS251" s="34"/>
      <c r="BT251" s="34"/>
      <c r="BU251" s="34"/>
      <c r="BV251" s="34"/>
      <c r="BW251" s="34"/>
      <c r="BX251" s="34"/>
      <c r="BY251" s="4"/>
    </row>
    <row r="252" spans="1:77">
      <c r="A252" s="57"/>
      <c r="B252" s="13"/>
      <c r="C252" s="13"/>
      <c r="D252" s="13"/>
      <c r="E252" s="14"/>
      <c r="F252" s="13"/>
      <c r="G252" s="13"/>
      <c r="H252" s="13"/>
      <c r="I252" s="13"/>
      <c r="J252" s="13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13"/>
      <c r="BJ252" s="13"/>
      <c r="BK252" s="13"/>
      <c r="BL252" s="46"/>
      <c r="BM252" s="46"/>
      <c r="BN252" s="46"/>
      <c r="BO252" s="46"/>
      <c r="BP252" s="46"/>
      <c r="BQ252" s="46"/>
      <c r="BR252" s="34"/>
      <c r="BS252" s="34"/>
      <c r="BT252" s="34"/>
      <c r="BU252" s="34"/>
      <c r="BV252" s="34"/>
      <c r="BW252" s="34"/>
      <c r="BX252" s="34"/>
      <c r="BY252" s="4"/>
    </row>
    <row r="253" spans="1:77">
      <c r="A253" s="57"/>
      <c r="B253" s="12"/>
      <c r="C253" s="13"/>
      <c r="D253" s="13"/>
      <c r="E253" s="14"/>
      <c r="F253" s="13"/>
      <c r="G253" s="13"/>
      <c r="H253" s="13"/>
      <c r="I253" s="13"/>
      <c r="J253" s="13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13"/>
      <c r="BJ253" s="13"/>
      <c r="BK253" s="13"/>
      <c r="BL253" s="46"/>
      <c r="BM253" s="46"/>
      <c r="BN253" s="46"/>
      <c r="BO253" s="46"/>
      <c r="BP253" s="46"/>
      <c r="BQ253" s="46"/>
      <c r="BR253" s="34"/>
      <c r="BS253" s="34"/>
      <c r="BT253" s="34"/>
      <c r="BU253" s="34"/>
      <c r="BV253" s="34"/>
      <c r="BW253" s="34"/>
      <c r="BX253" s="34"/>
      <c r="BY253" s="4"/>
    </row>
    <row r="254" spans="1:77">
      <c r="A254" s="57"/>
      <c r="B254" s="13"/>
      <c r="C254" s="13"/>
      <c r="D254" s="13"/>
      <c r="E254" s="14"/>
      <c r="F254" s="13"/>
      <c r="G254" s="13"/>
      <c r="H254" s="13"/>
      <c r="I254" s="13"/>
      <c r="J254" s="13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13"/>
      <c r="BJ254" s="13"/>
      <c r="BK254" s="13"/>
      <c r="BL254" s="46"/>
      <c r="BM254" s="46"/>
      <c r="BN254" s="46"/>
      <c r="BO254" s="46"/>
      <c r="BP254" s="46"/>
      <c r="BQ254" s="46"/>
      <c r="BR254" s="34"/>
      <c r="BS254" s="34"/>
      <c r="BT254" s="34"/>
      <c r="BU254" s="34"/>
      <c r="BV254" s="34"/>
      <c r="BW254" s="34"/>
      <c r="BX254" s="34"/>
      <c r="BY254" s="4"/>
    </row>
    <row r="255" spans="1:77">
      <c r="A255" s="57"/>
      <c r="B255" s="13"/>
      <c r="C255" s="13"/>
      <c r="D255" s="13"/>
      <c r="E255" s="14"/>
      <c r="F255" s="13"/>
      <c r="G255" s="13"/>
      <c r="H255" s="13"/>
      <c r="I255" s="13"/>
      <c r="J255" s="13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13"/>
      <c r="BJ255" s="13"/>
      <c r="BK255" s="13"/>
      <c r="BL255" s="46"/>
      <c r="BM255" s="46"/>
      <c r="BN255" s="46"/>
      <c r="BO255" s="46"/>
      <c r="BP255" s="46"/>
      <c r="BQ255" s="46"/>
      <c r="BR255" s="34"/>
      <c r="BS255" s="34"/>
      <c r="BT255" s="34"/>
      <c r="BU255" s="34"/>
      <c r="BV255" s="34"/>
      <c r="BW255" s="34"/>
      <c r="BX255" s="34"/>
      <c r="BY255" s="4"/>
    </row>
    <row r="256" spans="1:77">
      <c r="A256" s="57"/>
      <c r="B256" s="13"/>
      <c r="C256" s="13"/>
      <c r="D256" s="13"/>
      <c r="E256" s="14"/>
      <c r="F256" s="13"/>
      <c r="G256" s="13"/>
      <c r="H256" s="13"/>
      <c r="I256" s="13"/>
      <c r="J256" s="13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13"/>
      <c r="BJ256" s="13"/>
      <c r="BK256" s="13"/>
      <c r="BL256" s="46"/>
      <c r="BM256" s="46"/>
      <c r="BN256" s="46"/>
      <c r="BO256" s="46"/>
      <c r="BP256" s="46"/>
      <c r="BQ256" s="46"/>
      <c r="BR256" s="34"/>
      <c r="BS256" s="34"/>
      <c r="BT256" s="34"/>
      <c r="BU256" s="34"/>
      <c r="BV256" s="34"/>
      <c r="BW256" s="34"/>
      <c r="BX256" s="34"/>
      <c r="BY256" s="4"/>
    </row>
    <row r="257" spans="1:77">
      <c r="A257" s="57"/>
      <c r="B257" s="13"/>
      <c r="C257" s="13"/>
      <c r="D257" s="13"/>
      <c r="E257" s="14"/>
      <c r="F257" s="13"/>
      <c r="G257" s="13"/>
      <c r="H257" s="13"/>
      <c r="I257" s="13"/>
      <c r="J257" s="13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13"/>
      <c r="BJ257" s="13"/>
      <c r="BK257" s="13"/>
      <c r="BL257" s="46"/>
      <c r="BM257" s="46"/>
      <c r="BN257" s="46"/>
      <c r="BO257" s="46"/>
      <c r="BP257" s="46"/>
      <c r="BQ257" s="46"/>
      <c r="BR257" s="34"/>
      <c r="BS257" s="34"/>
      <c r="BT257" s="34"/>
      <c r="BU257" s="34"/>
      <c r="BV257" s="34"/>
      <c r="BW257" s="34"/>
      <c r="BX257" s="34"/>
      <c r="BY257" s="4"/>
    </row>
    <row r="258" spans="1:77">
      <c r="A258" s="57"/>
      <c r="B258" s="15"/>
      <c r="C258" s="13"/>
      <c r="D258" s="13"/>
      <c r="E258" s="14"/>
      <c r="F258" s="13"/>
      <c r="G258" s="13"/>
      <c r="H258" s="13"/>
      <c r="I258" s="13"/>
      <c r="J258" s="13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13"/>
      <c r="BJ258" s="13"/>
      <c r="BK258" s="13"/>
      <c r="BL258" s="46"/>
      <c r="BM258" s="46"/>
      <c r="BN258" s="46"/>
      <c r="BO258" s="46"/>
      <c r="BP258" s="46"/>
      <c r="BQ258" s="46"/>
      <c r="BR258" s="34"/>
      <c r="BS258" s="34"/>
      <c r="BT258" s="34"/>
      <c r="BU258" s="34"/>
      <c r="BV258" s="34"/>
      <c r="BW258" s="34"/>
      <c r="BX258" s="34"/>
      <c r="BY258" s="4"/>
    </row>
    <row r="259" spans="1:77">
      <c r="A259" s="57"/>
      <c r="B259" s="13"/>
      <c r="C259" s="13"/>
      <c r="D259" s="13"/>
      <c r="E259" s="14"/>
      <c r="F259" s="13"/>
      <c r="G259" s="13"/>
      <c r="H259" s="13"/>
      <c r="I259" s="13"/>
      <c r="J259" s="13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13"/>
      <c r="BJ259" s="13"/>
      <c r="BK259" s="13"/>
      <c r="BL259" s="46"/>
      <c r="BM259" s="46"/>
      <c r="BN259" s="46"/>
      <c r="BO259" s="46"/>
      <c r="BP259" s="46"/>
      <c r="BQ259" s="46"/>
      <c r="BR259" s="34"/>
      <c r="BS259" s="34"/>
      <c r="BT259" s="34"/>
      <c r="BU259" s="34"/>
      <c r="BV259" s="34"/>
      <c r="BW259" s="34"/>
      <c r="BX259" s="34"/>
      <c r="BY259" s="4"/>
    </row>
    <row r="260" spans="1:77">
      <c r="A260" s="57"/>
      <c r="B260" s="13"/>
      <c r="C260" s="13"/>
      <c r="D260" s="13"/>
      <c r="E260" s="14"/>
      <c r="F260" s="13"/>
      <c r="G260" s="13"/>
      <c r="H260" s="13"/>
      <c r="I260" s="13"/>
      <c r="J260" s="13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13"/>
      <c r="BJ260" s="13"/>
      <c r="BK260" s="13"/>
      <c r="BL260" s="46"/>
      <c r="BM260" s="46"/>
      <c r="BN260" s="46"/>
      <c r="BO260" s="46"/>
      <c r="BP260" s="46"/>
      <c r="BQ260" s="46"/>
      <c r="BR260" s="34"/>
      <c r="BS260" s="34"/>
      <c r="BT260" s="34"/>
      <c r="BU260" s="34"/>
      <c r="BV260" s="34"/>
      <c r="BW260" s="34"/>
      <c r="BX260" s="34"/>
      <c r="BY260" s="4"/>
    </row>
    <row r="261" spans="1:77">
      <c r="A261" s="57"/>
      <c r="B261" s="13"/>
      <c r="C261" s="13"/>
      <c r="D261" s="13"/>
      <c r="E261" s="14"/>
      <c r="F261" s="13"/>
      <c r="G261" s="13"/>
      <c r="H261" s="13"/>
      <c r="I261" s="13"/>
      <c r="J261" s="13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13"/>
      <c r="BJ261" s="13"/>
      <c r="BK261" s="13"/>
      <c r="BL261" s="46"/>
      <c r="BM261" s="46"/>
      <c r="BN261" s="46"/>
      <c r="BO261" s="46"/>
      <c r="BP261" s="46"/>
      <c r="BQ261" s="46"/>
      <c r="BR261" s="34"/>
      <c r="BS261" s="34"/>
      <c r="BT261" s="34"/>
      <c r="BU261" s="34"/>
      <c r="BV261" s="34"/>
      <c r="BW261" s="34"/>
      <c r="BX261" s="34"/>
      <c r="BY261" s="4"/>
    </row>
    <row r="262" spans="1:77">
      <c r="A262" s="57"/>
      <c r="B262" s="13"/>
      <c r="C262" s="13"/>
      <c r="D262" s="13"/>
      <c r="E262" s="14"/>
      <c r="F262" s="13"/>
      <c r="G262" s="13"/>
      <c r="H262" s="13"/>
      <c r="I262" s="13"/>
      <c r="J262" s="13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13"/>
      <c r="BJ262" s="13"/>
      <c r="BK262" s="13"/>
      <c r="BL262" s="46"/>
      <c r="BM262" s="46"/>
      <c r="BN262" s="46"/>
      <c r="BO262" s="46"/>
      <c r="BP262" s="46"/>
      <c r="BQ262" s="46"/>
      <c r="BR262" s="34"/>
      <c r="BS262" s="34"/>
      <c r="BT262" s="34"/>
      <c r="BU262" s="34"/>
      <c r="BV262" s="34"/>
      <c r="BW262" s="34"/>
      <c r="BX262" s="34"/>
      <c r="BY262" s="4"/>
    </row>
    <row r="263" spans="1:77">
      <c r="A263" s="57"/>
      <c r="B263" s="15"/>
      <c r="C263" s="13"/>
      <c r="D263" s="13"/>
      <c r="E263" s="14"/>
      <c r="F263" s="13"/>
      <c r="G263" s="13"/>
      <c r="H263" s="13"/>
      <c r="I263" s="13"/>
      <c r="J263" s="13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13"/>
      <c r="BJ263" s="13"/>
      <c r="BK263" s="13"/>
      <c r="BL263" s="46"/>
      <c r="BM263" s="46"/>
      <c r="BN263" s="46"/>
      <c r="BO263" s="46"/>
      <c r="BP263" s="46"/>
      <c r="BQ263" s="46"/>
      <c r="BR263" s="34"/>
      <c r="BS263" s="34"/>
      <c r="BT263" s="34"/>
      <c r="BU263" s="34"/>
      <c r="BV263" s="34"/>
      <c r="BW263" s="34"/>
      <c r="BX263" s="34"/>
      <c r="BY263" s="4"/>
    </row>
    <row r="264" spans="1:77">
      <c r="A264" s="57"/>
      <c r="B264" s="13"/>
      <c r="C264" s="13"/>
      <c r="D264" s="13"/>
      <c r="E264" s="14"/>
      <c r="F264" s="13"/>
      <c r="G264" s="13"/>
      <c r="H264" s="13"/>
      <c r="I264" s="13"/>
      <c r="J264" s="13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13"/>
      <c r="BJ264" s="13"/>
      <c r="BK264" s="13"/>
      <c r="BL264" s="46"/>
      <c r="BM264" s="46"/>
      <c r="BN264" s="46"/>
      <c r="BO264" s="46"/>
      <c r="BP264" s="46"/>
      <c r="BQ264" s="46"/>
      <c r="BR264" s="34"/>
      <c r="BS264" s="34"/>
      <c r="BT264" s="34"/>
      <c r="BU264" s="34"/>
      <c r="BV264" s="34"/>
      <c r="BW264" s="34"/>
      <c r="BX264" s="34"/>
      <c r="BY264" s="4"/>
    </row>
    <row r="265" spans="1:77">
      <c r="A265" s="57"/>
      <c r="B265" s="13"/>
      <c r="C265" s="13"/>
      <c r="D265" s="13"/>
      <c r="E265" s="14"/>
      <c r="F265" s="13"/>
      <c r="G265" s="13"/>
      <c r="H265" s="13"/>
      <c r="I265" s="13"/>
      <c r="J265" s="13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13"/>
      <c r="BJ265" s="13"/>
      <c r="BK265" s="13"/>
      <c r="BL265" s="46"/>
      <c r="BM265" s="46"/>
      <c r="BN265" s="46"/>
      <c r="BO265" s="46"/>
      <c r="BP265" s="46"/>
      <c r="BQ265" s="46"/>
      <c r="BR265" s="34"/>
      <c r="BS265" s="34"/>
      <c r="BT265" s="34"/>
      <c r="BU265" s="34"/>
      <c r="BV265" s="34"/>
      <c r="BW265" s="34"/>
      <c r="BX265" s="34"/>
      <c r="BY265" s="4"/>
    </row>
    <row r="266" spans="1:77">
      <c r="A266" s="57"/>
      <c r="B266" s="13"/>
      <c r="C266" s="13"/>
      <c r="D266" s="13"/>
      <c r="E266" s="14"/>
      <c r="F266" s="13"/>
      <c r="G266" s="13"/>
      <c r="H266" s="13"/>
      <c r="I266" s="13"/>
      <c r="J266" s="13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13"/>
      <c r="BJ266" s="13"/>
      <c r="BK266" s="13"/>
      <c r="BL266" s="46"/>
      <c r="BM266" s="46"/>
      <c r="BN266" s="46"/>
      <c r="BO266" s="46"/>
      <c r="BP266" s="46"/>
      <c r="BQ266" s="46"/>
      <c r="BR266" s="34"/>
      <c r="BS266" s="34"/>
      <c r="BT266" s="34"/>
      <c r="BU266" s="34"/>
      <c r="BV266" s="34"/>
      <c r="BW266" s="34"/>
      <c r="BX266" s="34"/>
      <c r="BY266" s="4"/>
    </row>
    <row r="267" spans="1:77">
      <c r="A267" s="57"/>
      <c r="B267" s="13"/>
      <c r="C267" s="13"/>
      <c r="D267" s="13"/>
      <c r="E267" s="14"/>
      <c r="F267" s="13"/>
      <c r="G267" s="13"/>
      <c r="H267" s="13"/>
      <c r="I267" s="13"/>
      <c r="J267" s="13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13"/>
      <c r="BJ267" s="13"/>
      <c r="BK267" s="13"/>
      <c r="BL267" s="46"/>
      <c r="BM267" s="46"/>
      <c r="BN267" s="46"/>
      <c r="BO267" s="46"/>
      <c r="BP267" s="46"/>
      <c r="BQ267" s="46"/>
      <c r="BR267" s="34"/>
      <c r="BS267" s="34"/>
      <c r="BT267" s="34"/>
      <c r="BU267" s="34"/>
      <c r="BV267" s="34"/>
      <c r="BW267" s="34"/>
      <c r="BX267" s="34"/>
      <c r="BY267" s="4"/>
    </row>
    <row r="268" spans="1:77">
      <c r="A268" s="57"/>
      <c r="B268" s="13"/>
      <c r="C268" s="13"/>
      <c r="D268" s="13"/>
      <c r="E268" s="14"/>
      <c r="F268" s="13"/>
      <c r="G268" s="13"/>
      <c r="H268" s="13"/>
      <c r="I268" s="13"/>
      <c r="J268" s="13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13"/>
      <c r="BJ268" s="13"/>
      <c r="BK268" s="13"/>
      <c r="BL268" s="46"/>
      <c r="BM268" s="46"/>
      <c r="BN268" s="46"/>
      <c r="BO268" s="46"/>
      <c r="BP268" s="46"/>
      <c r="BQ268" s="46"/>
      <c r="BR268" s="34"/>
      <c r="BS268" s="34"/>
      <c r="BT268" s="34"/>
      <c r="BU268" s="34"/>
      <c r="BV268" s="34"/>
      <c r="BW268" s="34"/>
      <c r="BX268" s="34"/>
      <c r="BY268" s="4"/>
    </row>
    <row r="269" spans="1:77">
      <c r="A269" s="57"/>
      <c r="B269" s="13"/>
      <c r="C269" s="13"/>
      <c r="D269" s="13"/>
      <c r="E269" s="14"/>
      <c r="F269" s="13"/>
      <c r="G269" s="13"/>
      <c r="H269" s="13"/>
      <c r="I269" s="13"/>
      <c r="J269" s="13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13"/>
      <c r="BJ269" s="13"/>
      <c r="BK269" s="13"/>
      <c r="BL269" s="46"/>
      <c r="BM269" s="46"/>
      <c r="BN269" s="46"/>
      <c r="BO269" s="46"/>
      <c r="BP269" s="46"/>
      <c r="BQ269" s="46"/>
      <c r="BR269" s="34"/>
      <c r="BS269" s="34"/>
      <c r="BT269" s="34"/>
      <c r="BU269" s="34"/>
      <c r="BV269" s="34"/>
      <c r="BW269" s="34"/>
      <c r="BX269" s="34"/>
      <c r="BY269" s="4"/>
    </row>
    <row r="270" spans="1:77">
      <c r="A270" s="57"/>
      <c r="B270" s="13"/>
      <c r="C270" s="13"/>
      <c r="D270" s="13"/>
      <c r="E270" s="14"/>
      <c r="F270" s="13"/>
      <c r="G270" s="13"/>
      <c r="H270" s="13"/>
      <c r="I270" s="13"/>
      <c r="J270" s="13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13"/>
      <c r="BJ270" s="13"/>
      <c r="BK270" s="13"/>
      <c r="BL270" s="46"/>
      <c r="BM270" s="46"/>
      <c r="BN270" s="46"/>
      <c r="BO270" s="46"/>
      <c r="BP270" s="46"/>
      <c r="BQ270" s="46"/>
      <c r="BR270" s="34"/>
      <c r="BS270" s="34"/>
      <c r="BT270" s="34"/>
      <c r="BU270" s="34"/>
      <c r="BV270" s="34"/>
      <c r="BW270" s="34"/>
      <c r="BX270" s="34"/>
      <c r="BY270" s="4"/>
    </row>
    <row r="271" spans="1:77">
      <c r="A271" s="57"/>
      <c r="B271" s="13"/>
      <c r="C271" s="13"/>
      <c r="D271" s="13"/>
      <c r="E271" s="14"/>
      <c r="F271" s="13"/>
      <c r="G271" s="13"/>
      <c r="H271" s="13"/>
      <c r="I271" s="13"/>
      <c r="J271" s="13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13"/>
      <c r="BJ271" s="13"/>
      <c r="BK271" s="13"/>
      <c r="BL271" s="46"/>
      <c r="BM271" s="46"/>
      <c r="BN271" s="46"/>
      <c r="BO271" s="46"/>
      <c r="BP271" s="46"/>
      <c r="BQ271" s="46"/>
      <c r="BR271" s="34"/>
      <c r="BS271" s="34"/>
      <c r="BT271" s="34"/>
      <c r="BU271" s="34"/>
      <c r="BV271" s="34"/>
      <c r="BW271" s="34"/>
      <c r="BX271" s="34"/>
      <c r="BY271" s="4"/>
    </row>
    <row r="272" spans="1:77">
      <c r="A272" s="57"/>
      <c r="B272" s="12"/>
      <c r="C272" s="13"/>
      <c r="D272" s="13"/>
      <c r="E272" s="14"/>
      <c r="F272" s="13"/>
      <c r="G272" s="13"/>
      <c r="H272" s="13"/>
      <c r="I272" s="13"/>
      <c r="J272" s="13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13"/>
      <c r="BJ272" s="13"/>
      <c r="BK272" s="13"/>
      <c r="BL272" s="46"/>
      <c r="BM272" s="46"/>
      <c r="BN272" s="46"/>
      <c r="BO272" s="46"/>
      <c r="BP272" s="46"/>
      <c r="BQ272" s="46"/>
      <c r="BR272" s="34"/>
      <c r="BS272" s="34"/>
      <c r="BT272" s="34"/>
      <c r="BU272" s="34"/>
      <c r="BV272" s="34"/>
      <c r="BW272" s="34"/>
      <c r="BX272" s="34"/>
      <c r="BY272" s="4"/>
    </row>
    <row r="273" spans="1:77">
      <c r="A273" s="57"/>
      <c r="B273" s="12"/>
      <c r="C273" s="13"/>
      <c r="D273" s="13"/>
      <c r="E273" s="14"/>
      <c r="F273" s="13"/>
      <c r="G273" s="13"/>
      <c r="H273" s="13"/>
      <c r="I273" s="13"/>
      <c r="J273" s="13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13"/>
      <c r="BJ273" s="13"/>
      <c r="BK273" s="13"/>
      <c r="BL273" s="46"/>
      <c r="BM273" s="46"/>
      <c r="BN273" s="46"/>
      <c r="BO273" s="46"/>
      <c r="BP273" s="46"/>
      <c r="BQ273" s="46"/>
      <c r="BR273" s="34"/>
      <c r="BS273" s="34"/>
      <c r="BT273" s="34"/>
      <c r="BU273" s="34"/>
      <c r="BV273" s="34"/>
      <c r="BW273" s="34"/>
      <c r="BX273" s="34"/>
      <c r="BY273" s="4"/>
    </row>
    <row r="274" spans="1:77">
      <c r="A274" s="57"/>
      <c r="B274" s="13"/>
      <c r="C274" s="13"/>
      <c r="D274" s="13"/>
      <c r="E274" s="14"/>
      <c r="F274" s="13"/>
      <c r="G274" s="13"/>
      <c r="H274" s="13"/>
      <c r="I274" s="13"/>
      <c r="J274" s="13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13"/>
      <c r="BJ274" s="13"/>
      <c r="BK274" s="13"/>
      <c r="BL274" s="46"/>
      <c r="BM274" s="46"/>
      <c r="BN274" s="46"/>
      <c r="BO274" s="46"/>
      <c r="BP274" s="46"/>
      <c r="BQ274" s="46"/>
      <c r="BR274" s="34"/>
      <c r="BS274" s="34"/>
      <c r="BT274" s="34"/>
      <c r="BU274" s="34"/>
      <c r="BV274" s="34"/>
      <c r="BW274" s="34"/>
      <c r="BX274" s="34"/>
      <c r="BY274" s="4"/>
    </row>
    <row r="275" spans="1:77">
      <c r="A275" s="57"/>
      <c r="B275" s="13"/>
      <c r="C275" s="13"/>
      <c r="D275" s="13"/>
      <c r="E275" s="14"/>
      <c r="F275" s="13"/>
      <c r="G275" s="13"/>
      <c r="H275" s="13"/>
      <c r="I275" s="13"/>
      <c r="J275" s="13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13"/>
      <c r="BJ275" s="13"/>
      <c r="BK275" s="13"/>
      <c r="BL275" s="46"/>
      <c r="BM275" s="46"/>
      <c r="BN275" s="46"/>
      <c r="BO275" s="46"/>
      <c r="BP275" s="46"/>
      <c r="BQ275" s="46"/>
      <c r="BR275" s="34"/>
      <c r="BS275" s="34"/>
      <c r="BT275" s="34"/>
      <c r="BU275" s="34"/>
      <c r="BV275" s="34"/>
      <c r="BW275" s="34"/>
      <c r="BX275" s="34"/>
      <c r="BY275" s="4"/>
    </row>
    <row r="276" spans="1:77">
      <c r="A276" s="57"/>
      <c r="B276" s="13"/>
      <c r="C276" s="13"/>
      <c r="D276" s="13"/>
      <c r="E276" s="14"/>
      <c r="F276" s="13"/>
      <c r="G276" s="13"/>
      <c r="H276" s="13"/>
      <c r="I276" s="13"/>
      <c r="J276" s="13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13"/>
      <c r="BJ276" s="13"/>
      <c r="BK276" s="13"/>
      <c r="BL276" s="46"/>
      <c r="BM276" s="46"/>
      <c r="BN276" s="46"/>
      <c r="BO276" s="46"/>
      <c r="BP276" s="46"/>
      <c r="BQ276" s="46"/>
      <c r="BR276" s="34"/>
      <c r="BS276" s="34"/>
      <c r="BT276" s="34"/>
      <c r="BU276" s="34"/>
      <c r="BV276" s="34"/>
      <c r="BW276" s="34"/>
      <c r="BX276" s="34"/>
      <c r="BY276" s="4"/>
    </row>
    <row r="277" spans="1:77">
      <c r="A277" s="57"/>
      <c r="B277" s="13"/>
      <c r="C277" s="13"/>
      <c r="D277" s="13"/>
      <c r="E277" s="14"/>
      <c r="F277" s="13"/>
      <c r="G277" s="13"/>
      <c r="H277" s="13"/>
      <c r="I277" s="13"/>
      <c r="J277" s="13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13"/>
      <c r="BJ277" s="13"/>
      <c r="BK277" s="13"/>
      <c r="BL277" s="46"/>
      <c r="BM277" s="46"/>
      <c r="BN277" s="46"/>
      <c r="BO277" s="46"/>
      <c r="BP277" s="46"/>
      <c r="BQ277" s="46"/>
      <c r="BR277" s="34"/>
      <c r="BS277" s="34"/>
      <c r="BT277" s="34"/>
      <c r="BU277" s="34"/>
      <c r="BV277" s="34"/>
      <c r="BW277" s="34"/>
      <c r="BX277" s="34"/>
      <c r="BY277" s="4"/>
    </row>
    <row r="278" spans="1:77">
      <c r="A278" s="57"/>
      <c r="B278" s="12"/>
      <c r="C278" s="13"/>
      <c r="D278" s="13"/>
      <c r="E278" s="14"/>
      <c r="F278" s="13"/>
      <c r="G278" s="13"/>
      <c r="H278" s="13"/>
      <c r="I278" s="13"/>
      <c r="J278" s="13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13"/>
      <c r="BJ278" s="13"/>
      <c r="BK278" s="13"/>
      <c r="BL278" s="46"/>
      <c r="BM278" s="46"/>
      <c r="BN278" s="46"/>
      <c r="BO278" s="46"/>
      <c r="BP278" s="46"/>
      <c r="BQ278" s="46"/>
      <c r="BR278" s="34"/>
      <c r="BS278" s="34"/>
      <c r="BT278" s="34"/>
      <c r="BU278" s="34"/>
      <c r="BV278" s="34"/>
      <c r="BW278" s="34"/>
      <c r="BX278" s="34"/>
      <c r="BY278" s="4"/>
    </row>
    <row r="279" spans="1:77">
      <c r="A279" s="57"/>
      <c r="B279" s="12"/>
      <c r="C279" s="13"/>
      <c r="D279" s="13"/>
      <c r="E279" s="14"/>
      <c r="F279" s="13"/>
      <c r="G279" s="13"/>
      <c r="H279" s="13"/>
      <c r="I279" s="13"/>
      <c r="J279" s="13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13"/>
      <c r="BJ279" s="13"/>
      <c r="BK279" s="13"/>
      <c r="BL279" s="46"/>
      <c r="BM279" s="46"/>
      <c r="BN279" s="46"/>
      <c r="BO279" s="46"/>
      <c r="BP279" s="46"/>
      <c r="BQ279" s="46"/>
      <c r="BR279" s="34"/>
      <c r="BS279" s="34"/>
      <c r="BT279" s="34"/>
      <c r="BU279" s="34"/>
      <c r="BV279" s="34"/>
      <c r="BW279" s="34"/>
      <c r="BX279" s="34"/>
      <c r="BY279" s="4"/>
    </row>
    <row r="280" spans="1:77">
      <c r="A280" s="57"/>
      <c r="B280" s="13"/>
      <c r="C280" s="13"/>
      <c r="D280" s="13"/>
      <c r="E280" s="14"/>
      <c r="F280" s="13"/>
      <c r="G280" s="13"/>
      <c r="H280" s="13"/>
      <c r="I280" s="13"/>
      <c r="J280" s="13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13"/>
      <c r="BJ280" s="13"/>
      <c r="BK280" s="13"/>
      <c r="BL280" s="46"/>
      <c r="BM280" s="46"/>
      <c r="BN280" s="46"/>
      <c r="BO280" s="46"/>
      <c r="BP280" s="46"/>
      <c r="BQ280" s="46"/>
      <c r="BR280" s="34"/>
      <c r="BS280" s="34"/>
      <c r="BT280" s="34"/>
      <c r="BU280" s="34"/>
      <c r="BV280" s="34"/>
      <c r="BW280" s="34"/>
      <c r="BX280" s="34"/>
      <c r="BY280" s="4"/>
    </row>
    <row r="281" spans="1:77">
      <c r="A281" s="57"/>
      <c r="B281" s="12"/>
      <c r="C281" s="13"/>
      <c r="D281" s="13"/>
      <c r="E281" s="14"/>
      <c r="F281" s="13"/>
      <c r="G281" s="13"/>
      <c r="H281" s="13"/>
      <c r="I281" s="13"/>
      <c r="J281" s="13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13"/>
      <c r="BJ281" s="13"/>
      <c r="BK281" s="13"/>
      <c r="BL281" s="46"/>
      <c r="BM281" s="46"/>
      <c r="BN281" s="46"/>
      <c r="BO281" s="46"/>
      <c r="BP281" s="46"/>
      <c r="BQ281" s="46"/>
      <c r="BR281" s="34"/>
      <c r="BS281" s="34"/>
      <c r="BT281" s="34"/>
      <c r="BU281" s="34"/>
      <c r="BV281" s="34"/>
      <c r="BW281" s="34"/>
      <c r="BX281" s="34"/>
      <c r="BY281" s="4"/>
    </row>
    <row r="282" spans="1:77">
      <c r="A282" s="57"/>
      <c r="B282" s="13"/>
      <c r="C282" s="13"/>
      <c r="D282" s="13"/>
      <c r="E282" s="14"/>
      <c r="F282" s="13"/>
      <c r="G282" s="13"/>
      <c r="H282" s="13"/>
      <c r="I282" s="13"/>
      <c r="J282" s="13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13"/>
      <c r="BJ282" s="13"/>
      <c r="BK282" s="13"/>
      <c r="BL282" s="46"/>
      <c r="BM282" s="46"/>
      <c r="BN282" s="46"/>
      <c r="BO282" s="46"/>
      <c r="BP282" s="46"/>
      <c r="BQ282" s="46"/>
      <c r="BR282" s="34"/>
      <c r="BS282" s="34"/>
      <c r="BT282" s="34"/>
      <c r="BU282" s="34"/>
      <c r="BV282" s="34"/>
      <c r="BW282" s="34"/>
      <c r="BX282" s="34"/>
      <c r="BY282" s="4"/>
    </row>
    <row r="283" spans="1:77">
      <c r="A283" s="57"/>
      <c r="B283" s="13"/>
      <c r="C283" s="13"/>
      <c r="D283" s="13"/>
      <c r="E283" s="14"/>
      <c r="F283" s="13"/>
      <c r="G283" s="13"/>
      <c r="H283" s="13"/>
      <c r="I283" s="13"/>
      <c r="J283" s="13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13"/>
      <c r="BJ283" s="13"/>
      <c r="BK283" s="13"/>
      <c r="BL283" s="46"/>
      <c r="BM283" s="46"/>
      <c r="BN283" s="46"/>
      <c r="BO283" s="46"/>
      <c r="BP283" s="46"/>
      <c r="BQ283" s="46"/>
      <c r="BR283" s="34"/>
      <c r="BS283" s="34"/>
      <c r="BT283" s="34"/>
      <c r="BU283" s="34"/>
      <c r="BV283" s="34"/>
      <c r="BW283" s="34"/>
      <c r="BX283" s="34"/>
      <c r="BY283" s="4"/>
    </row>
    <row r="284" spans="1:77">
      <c r="A284" s="57"/>
      <c r="B284" s="13"/>
      <c r="C284" s="13"/>
      <c r="D284" s="13"/>
      <c r="E284" s="14"/>
      <c r="F284" s="13"/>
      <c r="G284" s="13"/>
      <c r="H284" s="13"/>
      <c r="I284" s="13"/>
      <c r="J284" s="13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13"/>
      <c r="BJ284" s="13"/>
      <c r="BK284" s="13"/>
      <c r="BL284" s="46"/>
      <c r="BM284" s="46"/>
      <c r="BN284" s="46"/>
      <c r="BO284" s="46"/>
      <c r="BP284" s="46"/>
      <c r="BQ284" s="46"/>
      <c r="BR284" s="34"/>
      <c r="BS284" s="34"/>
      <c r="BT284" s="34"/>
      <c r="BU284" s="34"/>
      <c r="BV284" s="34"/>
      <c r="BW284" s="34"/>
      <c r="BX284" s="34"/>
      <c r="BY284" s="4"/>
    </row>
    <row r="285" spans="1:77">
      <c r="A285" s="57"/>
      <c r="B285" s="13"/>
      <c r="C285" s="13"/>
      <c r="D285" s="13"/>
      <c r="E285" s="14"/>
      <c r="F285" s="13"/>
      <c r="G285" s="13"/>
      <c r="H285" s="13"/>
      <c r="I285" s="13"/>
      <c r="J285" s="13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13"/>
      <c r="BJ285" s="13"/>
      <c r="BK285" s="13"/>
      <c r="BL285" s="46"/>
      <c r="BM285" s="46"/>
      <c r="BN285" s="46"/>
      <c r="BO285" s="46"/>
      <c r="BP285" s="46"/>
      <c r="BQ285" s="46"/>
      <c r="BR285" s="34"/>
      <c r="BS285" s="34"/>
      <c r="BT285" s="34"/>
      <c r="BU285" s="34"/>
      <c r="BV285" s="34"/>
      <c r="BW285" s="34"/>
      <c r="BX285" s="34"/>
      <c r="BY285" s="4"/>
    </row>
    <row r="286" spans="1:77">
      <c r="A286" s="57"/>
      <c r="B286" s="12"/>
      <c r="C286" s="13"/>
      <c r="D286" s="13"/>
      <c r="E286" s="14"/>
      <c r="F286" s="13"/>
      <c r="G286" s="13"/>
      <c r="H286" s="13"/>
      <c r="I286" s="13"/>
      <c r="J286" s="13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13"/>
      <c r="BJ286" s="13"/>
      <c r="BK286" s="13"/>
      <c r="BL286" s="46"/>
      <c r="BM286" s="46"/>
      <c r="BN286" s="46"/>
      <c r="BO286" s="46"/>
      <c r="BP286" s="46"/>
      <c r="BQ286" s="46"/>
      <c r="BR286" s="34"/>
      <c r="BS286" s="34"/>
      <c r="BT286" s="34"/>
      <c r="BU286" s="34"/>
      <c r="BV286" s="34"/>
      <c r="BW286" s="34"/>
      <c r="BX286" s="34"/>
      <c r="BY286" s="4"/>
    </row>
    <row r="287" spans="1:77">
      <c r="A287" s="57"/>
      <c r="B287" s="12"/>
      <c r="C287" s="13"/>
      <c r="D287" s="13"/>
      <c r="E287" s="14"/>
      <c r="F287" s="13"/>
      <c r="G287" s="13"/>
      <c r="H287" s="13"/>
      <c r="I287" s="13"/>
      <c r="J287" s="13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13"/>
      <c r="BJ287" s="13"/>
      <c r="BK287" s="13"/>
      <c r="BL287" s="46"/>
      <c r="BM287" s="46"/>
      <c r="BN287" s="46"/>
      <c r="BO287" s="46"/>
      <c r="BP287" s="46"/>
      <c r="BQ287" s="46"/>
      <c r="BR287" s="34"/>
      <c r="BS287" s="34"/>
      <c r="BT287" s="34"/>
      <c r="BU287" s="34"/>
      <c r="BV287" s="34"/>
      <c r="BW287" s="34"/>
      <c r="BX287" s="34"/>
      <c r="BY287" s="4"/>
    </row>
    <row r="288" spans="1:77">
      <c r="A288" s="57"/>
      <c r="B288" s="12"/>
      <c r="C288" s="13"/>
      <c r="D288" s="13"/>
      <c r="E288" s="14"/>
      <c r="F288" s="13"/>
      <c r="G288" s="13"/>
      <c r="H288" s="13"/>
      <c r="I288" s="13"/>
      <c r="J288" s="13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13"/>
      <c r="BJ288" s="13"/>
      <c r="BK288" s="13"/>
      <c r="BL288" s="46"/>
      <c r="BM288" s="46"/>
      <c r="BN288" s="46"/>
      <c r="BO288" s="46"/>
      <c r="BP288" s="46"/>
      <c r="BQ288" s="46"/>
      <c r="BR288" s="34"/>
      <c r="BS288" s="34"/>
      <c r="BT288" s="34"/>
      <c r="BU288" s="34"/>
      <c r="BV288" s="34"/>
      <c r="BW288" s="34"/>
      <c r="BX288" s="34"/>
      <c r="BY288" s="4"/>
    </row>
    <row r="289" spans="1:77">
      <c r="A289" s="57"/>
      <c r="B289" s="12"/>
      <c r="C289" s="13"/>
      <c r="D289" s="13"/>
      <c r="E289" s="14"/>
      <c r="F289" s="13"/>
      <c r="G289" s="13"/>
      <c r="H289" s="13"/>
      <c r="I289" s="13"/>
      <c r="J289" s="13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13"/>
      <c r="BJ289" s="13"/>
      <c r="BK289" s="13"/>
      <c r="BL289" s="46"/>
      <c r="BM289" s="46"/>
      <c r="BN289" s="46"/>
      <c r="BO289" s="46"/>
      <c r="BP289" s="46"/>
      <c r="BQ289" s="46"/>
      <c r="BR289" s="34"/>
      <c r="BS289" s="34"/>
      <c r="BT289" s="34"/>
      <c r="BU289" s="34"/>
      <c r="BV289" s="34"/>
      <c r="BW289" s="34"/>
      <c r="BX289" s="34"/>
      <c r="BY289" s="4"/>
    </row>
    <row r="290" spans="1:77">
      <c r="A290" s="57"/>
      <c r="B290" s="12"/>
      <c r="C290" s="13"/>
      <c r="D290" s="13"/>
      <c r="E290" s="14"/>
      <c r="F290" s="13"/>
      <c r="G290" s="13"/>
      <c r="H290" s="13"/>
      <c r="I290" s="13"/>
      <c r="J290" s="13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13"/>
      <c r="BJ290" s="13"/>
      <c r="BK290" s="13"/>
      <c r="BL290" s="46"/>
      <c r="BM290" s="46"/>
      <c r="BN290" s="46"/>
      <c r="BO290" s="46"/>
      <c r="BP290" s="46"/>
      <c r="BQ290" s="46"/>
      <c r="BR290" s="34"/>
      <c r="BS290" s="34"/>
      <c r="BT290" s="34"/>
      <c r="BU290" s="34"/>
      <c r="BV290" s="34"/>
      <c r="BW290" s="34"/>
      <c r="BX290" s="34"/>
      <c r="BY290" s="4"/>
    </row>
    <row r="291" spans="1:77">
      <c r="A291" s="57"/>
      <c r="B291" s="12"/>
      <c r="C291" s="13"/>
      <c r="D291" s="13"/>
      <c r="E291" s="14"/>
      <c r="F291" s="13"/>
      <c r="G291" s="13"/>
      <c r="H291" s="13"/>
      <c r="I291" s="13"/>
      <c r="J291" s="13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13"/>
      <c r="BJ291" s="13"/>
      <c r="BK291" s="13"/>
      <c r="BL291" s="46"/>
      <c r="BM291" s="46"/>
      <c r="BN291" s="46"/>
      <c r="BO291" s="46"/>
      <c r="BP291" s="46"/>
      <c r="BQ291" s="46"/>
      <c r="BR291" s="34"/>
      <c r="BS291" s="34"/>
      <c r="BT291" s="34"/>
      <c r="BU291" s="34"/>
      <c r="BV291" s="34"/>
      <c r="BW291" s="34"/>
      <c r="BX291" s="34"/>
      <c r="BY291" s="4"/>
    </row>
    <row r="292" spans="1:77">
      <c r="A292" s="57"/>
      <c r="B292" s="12"/>
      <c r="C292" s="13"/>
      <c r="D292" s="13"/>
      <c r="E292" s="14"/>
      <c r="F292" s="13"/>
      <c r="G292" s="13"/>
      <c r="H292" s="13"/>
      <c r="I292" s="13"/>
      <c r="J292" s="13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13"/>
      <c r="BJ292" s="13"/>
      <c r="BK292" s="13"/>
      <c r="BL292" s="46"/>
      <c r="BM292" s="46"/>
      <c r="BN292" s="46"/>
      <c r="BO292" s="46"/>
      <c r="BP292" s="46"/>
      <c r="BQ292" s="46"/>
      <c r="BR292" s="34"/>
      <c r="BS292" s="34"/>
      <c r="BT292" s="34"/>
      <c r="BU292" s="34"/>
      <c r="BV292" s="34"/>
      <c r="BW292" s="34"/>
      <c r="BX292" s="34"/>
      <c r="BY292" s="4"/>
    </row>
    <row r="293" spans="1:77">
      <c r="A293" s="57"/>
      <c r="B293" s="12"/>
      <c r="C293" s="13"/>
      <c r="D293" s="13"/>
      <c r="E293" s="14"/>
      <c r="F293" s="13"/>
      <c r="G293" s="13"/>
      <c r="H293" s="13"/>
      <c r="I293" s="13"/>
      <c r="J293" s="13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13"/>
      <c r="BJ293" s="13"/>
      <c r="BK293" s="13"/>
      <c r="BL293" s="46"/>
      <c r="BM293" s="46"/>
      <c r="BN293" s="46"/>
      <c r="BO293" s="46"/>
      <c r="BP293" s="46"/>
      <c r="BQ293" s="46"/>
      <c r="BR293" s="34"/>
      <c r="BS293" s="34"/>
      <c r="BT293" s="34"/>
      <c r="BU293" s="34"/>
      <c r="BV293" s="34"/>
      <c r="BW293" s="34"/>
      <c r="BX293" s="34"/>
      <c r="BY293" s="4"/>
    </row>
    <row r="294" spans="1:77">
      <c r="A294" s="57"/>
      <c r="B294" s="13"/>
      <c r="C294" s="13"/>
      <c r="D294" s="13"/>
      <c r="E294" s="14"/>
      <c r="F294" s="13"/>
      <c r="G294" s="13"/>
      <c r="H294" s="13"/>
      <c r="I294" s="13"/>
      <c r="J294" s="13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13"/>
      <c r="BJ294" s="13"/>
      <c r="BK294" s="13"/>
      <c r="BL294" s="46"/>
      <c r="BM294" s="46"/>
      <c r="BN294" s="46"/>
      <c r="BO294" s="46"/>
      <c r="BP294" s="46"/>
      <c r="BQ294" s="46"/>
      <c r="BR294" s="34"/>
      <c r="BS294" s="34"/>
      <c r="BT294" s="34"/>
      <c r="BU294" s="34"/>
      <c r="BV294" s="34"/>
      <c r="BW294" s="34"/>
      <c r="BX294" s="34"/>
      <c r="BY294" s="4"/>
    </row>
    <row r="295" spans="1:77">
      <c r="A295" s="57"/>
      <c r="B295" s="13"/>
      <c r="C295" s="13"/>
      <c r="D295" s="13"/>
      <c r="E295" s="14"/>
      <c r="F295" s="13"/>
      <c r="G295" s="13"/>
      <c r="H295" s="13"/>
      <c r="I295" s="13"/>
      <c r="J295" s="13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13"/>
      <c r="BJ295" s="13"/>
      <c r="BK295" s="13"/>
      <c r="BL295" s="46"/>
      <c r="BM295" s="46"/>
      <c r="BN295" s="46"/>
      <c r="BO295" s="46"/>
      <c r="BP295" s="46"/>
      <c r="BQ295" s="46"/>
      <c r="BR295" s="34"/>
      <c r="BS295" s="34"/>
      <c r="BT295" s="34"/>
      <c r="BU295" s="34"/>
      <c r="BV295" s="34"/>
      <c r="BW295" s="34"/>
      <c r="BX295" s="34"/>
      <c r="BY295" s="4"/>
    </row>
    <row r="296" spans="1:77">
      <c r="A296" s="57"/>
      <c r="B296" s="13"/>
      <c r="C296" s="13"/>
      <c r="D296" s="13"/>
      <c r="E296" s="14"/>
      <c r="F296" s="13"/>
      <c r="G296" s="13"/>
      <c r="H296" s="13"/>
      <c r="I296" s="13"/>
      <c r="J296" s="13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13"/>
      <c r="BJ296" s="13"/>
      <c r="BK296" s="13"/>
      <c r="BL296" s="46"/>
      <c r="BM296" s="46"/>
      <c r="BN296" s="46"/>
      <c r="BO296" s="46"/>
      <c r="BP296" s="46"/>
      <c r="BQ296" s="46"/>
      <c r="BR296" s="34"/>
      <c r="BS296" s="34"/>
      <c r="BT296" s="34"/>
      <c r="BU296" s="34"/>
      <c r="BV296" s="34"/>
      <c r="BW296" s="34"/>
      <c r="BX296" s="34"/>
      <c r="BY296" s="4"/>
    </row>
    <row r="297" spans="1:77">
      <c r="A297" s="1" t="s">
        <v>76</v>
      </c>
      <c r="B297" s="13"/>
      <c r="C297" s="13"/>
      <c r="D297" s="13"/>
      <c r="E297" s="14">
        <f>SUM(E171:E296)</f>
        <v>0</v>
      </c>
      <c r="F297" s="13"/>
      <c r="G297" s="13">
        <f t="shared" ref="G297:N297" si="7">SUM(G171:G296)</f>
        <v>0</v>
      </c>
      <c r="H297" s="13">
        <f t="shared" si="7"/>
        <v>0</v>
      </c>
      <c r="I297" s="13">
        <f t="shared" si="7"/>
        <v>0</v>
      </c>
      <c r="J297" s="13">
        <f t="shared" si="7"/>
        <v>0</v>
      </c>
      <c r="K297" s="34">
        <f t="shared" si="7"/>
        <v>0</v>
      </c>
      <c r="L297" s="34">
        <f t="shared" si="7"/>
        <v>0</v>
      </c>
      <c r="M297" s="34">
        <f t="shared" si="7"/>
        <v>0</v>
      </c>
      <c r="N297" s="34">
        <f t="shared" si="7"/>
        <v>0</v>
      </c>
      <c r="O297" s="34"/>
      <c r="P297" s="34">
        <f t="shared" ref="P297:U297" si="8">SUM(P171:P296)</f>
        <v>0</v>
      </c>
      <c r="Q297" s="34">
        <f t="shared" si="8"/>
        <v>0</v>
      </c>
      <c r="R297" s="34">
        <f t="shared" si="8"/>
        <v>0</v>
      </c>
      <c r="S297" s="34">
        <f t="shared" si="8"/>
        <v>0</v>
      </c>
      <c r="T297" s="34">
        <f t="shared" si="8"/>
        <v>0</v>
      </c>
      <c r="U297" s="34">
        <f t="shared" si="8"/>
        <v>0</v>
      </c>
      <c r="V297" s="34"/>
      <c r="W297" s="34">
        <f t="shared" ref="W297:BB297" si="9">SUM(W171:W296)</f>
        <v>0</v>
      </c>
      <c r="X297" s="3">
        <f t="shared" si="9"/>
        <v>0</v>
      </c>
      <c r="Y297" s="39">
        <f t="shared" si="9"/>
        <v>0</v>
      </c>
      <c r="Z297" s="39">
        <f t="shared" si="9"/>
        <v>0</v>
      </c>
      <c r="AA297" s="39">
        <f t="shared" si="9"/>
        <v>0</v>
      </c>
      <c r="AB297" s="39">
        <f t="shared" si="9"/>
        <v>0</v>
      </c>
      <c r="AC297" s="39">
        <f t="shared" si="9"/>
        <v>0</v>
      </c>
      <c r="AD297" s="39">
        <f t="shared" si="9"/>
        <v>0</v>
      </c>
      <c r="AE297" s="39">
        <f t="shared" si="9"/>
        <v>0</v>
      </c>
      <c r="AF297" s="39">
        <f t="shared" si="9"/>
        <v>0</v>
      </c>
      <c r="AG297" s="39">
        <f t="shared" si="9"/>
        <v>0</v>
      </c>
      <c r="AH297" s="39">
        <f t="shared" si="9"/>
        <v>0</v>
      </c>
      <c r="AI297" s="39">
        <f t="shared" si="9"/>
        <v>0</v>
      </c>
      <c r="AJ297" s="39">
        <f t="shared" si="9"/>
        <v>0</v>
      </c>
      <c r="AK297" s="39">
        <f t="shared" si="9"/>
        <v>0</v>
      </c>
      <c r="AL297" s="39">
        <f t="shared" si="9"/>
        <v>0</v>
      </c>
      <c r="AM297" s="28">
        <f t="shared" si="9"/>
        <v>0</v>
      </c>
      <c r="AN297" s="28">
        <f t="shared" si="9"/>
        <v>0</v>
      </c>
      <c r="AO297" s="28">
        <f t="shared" si="9"/>
        <v>0</v>
      </c>
      <c r="AP297" s="28">
        <f t="shared" si="9"/>
        <v>0</v>
      </c>
      <c r="AQ297" s="28">
        <f t="shared" si="9"/>
        <v>0</v>
      </c>
      <c r="AR297" s="28">
        <f t="shared" si="9"/>
        <v>0</v>
      </c>
      <c r="AS297" s="28">
        <f t="shared" si="9"/>
        <v>0</v>
      </c>
      <c r="AT297" s="28">
        <f t="shared" si="9"/>
        <v>0</v>
      </c>
      <c r="AU297" s="28">
        <f t="shared" si="9"/>
        <v>0</v>
      </c>
      <c r="AV297" s="28">
        <f t="shared" si="9"/>
        <v>0</v>
      </c>
      <c r="AW297" s="28">
        <f t="shared" si="9"/>
        <v>0</v>
      </c>
      <c r="AX297" s="43">
        <f t="shared" si="9"/>
        <v>0</v>
      </c>
      <c r="AY297" s="43">
        <f t="shared" si="9"/>
        <v>0</v>
      </c>
      <c r="AZ297" s="43">
        <f t="shared" si="9"/>
        <v>0</v>
      </c>
      <c r="BA297" s="43">
        <f t="shared" si="9"/>
        <v>0</v>
      </c>
      <c r="BB297" s="43">
        <f t="shared" si="9"/>
        <v>0</v>
      </c>
      <c r="BC297" s="43">
        <f t="shared" ref="BC297:BW297" si="10">SUM(BC171:BC296)</f>
        <v>0</v>
      </c>
      <c r="BD297" s="43">
        <f t="shared" si="10"/>
        <v>0</v>
      </c>
      <c r="BE297" s="43">
        <f t="shared" si="10"/>
        <v>0</v>
      </c>
      <c r="BF297" s="43">
        <f t="shared" si="10"/>
        <v>0</v>
      </c>
      <c r="BG297" s="43">
        <f t="shared" si="10"/>
        <v>0</v>
      </c>
      <c r="BH297" s="43">
        <f t="shared" si="10"/>
        <v>0</v>
      </c>
      <c r="BI297" s="13">
        <f t="shared" si="10"/>
        <v>0</v>
      </c>
      <c r="BJ297" s="13">
        <f t="shared" si="10"/>
        <v>0</v>
      </c>
      <c r="BK297" s="13">
        <f t="shared" si="10"/>
        <v>0</v>
      </c>
      <c r="BL297" s="46">
        <f t="shared" si="10"/>
        <v>0</v>
      </c>
      <c r="BM297" s="46">
        <f t="shared" si="10"/>
        <v>0</v>
      </c>
      <c r="BN297" s="46">
        <f t="shared" si="10"/>
        <v>0</v>
      </c>
      <c r="BO297" s="46">
        <f t="shared" si="10"/>
        <v>0</v>
      </c>
      <c r="BP297" s="46">
        <f t="shared" si="10"/>
        <v>0</v>
      </c>
      <c r="BQ297" s="46">
        <f t="shared" si="10"/>
        <v>0</v>
      </c>
      <c r="BR297" s="34">
        <f t="shared" si="10"/>
        <v>0</v>
      </c>
      <c r="BS297" s="34">
        <f t="shared" si="10"/>
        <v>0</v>
      </c>
      <c r="BT297" s="34">
        <f t="shared" si="10"/>
        <v>0</v>
      </c>
      <c r="BU297" s="34">
        <f t="shared" si="10"/>
        <v>0</v>
      </c>
      <c r="BV297" s="34">
        <f t="shared" si="10"/>
        <v>0</v>
      </c>
      <c r="BW297" s="34">
        <f t="shared" si="10"/>
        <v>0</v>
      </c>
      <c r="BX297" s="34"/>
      <c r="BY297" s="4"/>
    </row>
    <row r="298" spans="1:77">
      <c r="B298" s="18"/>
      <c r="C298" s="18"/>
      <c r="D298" s="18"/>
      <c r="E298" s="18"/>
      <c r="F298" s="18"/>
      <c r="G298" s="18"/>
      <c r="H298" s="18"/>
      <c r="I298" s="18"/>
      <c r="J298" s="18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18"/>
      <c r="BJ298" s="18"/>
      <c r="BK298" s="18"/>
      <c r="BL298" s="47"/>
      <c r="BM298" s="47"/>
      <c r="BN298" s="47"/>
      <c r="BO298" s="47"/>
      <c r="BP298" s="47"/>
      <c r="BQ298" s="47"/>
      <c r="BR298" s="35"/>
      <c r="BS298" s="35"/>
      <c r="BT298" s="35"/>
      <c r="BU298" s="35"/>
      <c r="BV298" s="35"/>
      <c r="BW298" s="35"/>
      <c r="BX298" s="35"/>
    </row>
    <row r="299" spans="1:77" ht="159.6">
      <c r="A299" s="2" t="s">
        <v>77</v>
      </c>
      <c r="B299" s="11" t="s">
        <v>1</v>
      </c>
      <c r="C299" s="11" t="s">
        <v>2</v>
      </c>
      <c r="D299" s="11" t="s">
        <v>3</v>
      </c>
      <c r="E299" s="11" t="s">
        <v>4</v>
      </c>
      <c r="F299" s="11" t="s">
        <v>5</v>
      </c>
      <c r="G299" s="11" t="s">
        <v>6</v>
      </c>
      <c r="H299" s="11" t="s">
        <v>7</v>
      </c>
      <c r="I299" s="11" t="s">
        <v>8</v>
      </c>
      <c r="J299" s="11" t="s">
        <v>9</v>
      </c>
      <c r="K299" s="33" t="s">
        <v>10</v>
      </c>
      <c r="L299" s="33" t="s">
        <v>11</v>
      </c>
      <c r="M299" s="33" t="s">
        <v>12</v>
      </c>
      <c r="N299" s="33" t="s">
        <v>13</v>
      </c>
      <c r="O299" s="33" t="s">
        <v>14</v>
      </c>
      <c r="P299" s="33" t="s">
        <v>15</v>
      </c>
      <c r="Q299" s="33" t="s">
        <v>16</v>
      </c>
      <c r="R299" s="33" t="s">
        <v>17</v>
      </c>
      <c r="S299" s="33" t="s">
        <v>18</v>
      </c>
      <c r="T299" s="33" t="s">
        <v>19</v>
      </c>
      <c r="U299" s="33" t="s">
        <v>20</v>
      </c>
      <c r="V299" s="33" t="s">
        <v>21</v>
      </c>
      <c r="W299" s="33" t="s">
        <v>87</v>
      </c>
      <c r="X299" s="9" t="s">
        <v>80</v>
      </c>
      <c r="Y299" s="38" t="s">
        <v>24</v>
      </c>
      <c r="Z299" s="38" t="s">
        <v>25</v>
      </c>
      <c r="AA299" s="38" t="s">
        <v>26</v>
      </c>
      <c r="AB299" s="38" t="s">
        <v>81</v>
      </c>
      <c r="AC299" s="38" t="s">
        <v>28</v>
      </c>
      <c r="AD299" s="38" t="s">
        <v>29</v>
      </c>
      <c r="AE299" s="38" t="s">
        <v>30</v>
      </c>
      <c r="AF299" s="38" t="s">
        <v>31</v>
      </c>
      <c r="AG299" s="38" t="s">
        <v>32</v>
      </c>
      <c r="AH299" s="38" t="s">
        <v>33</v>
      </c>
      <c r="AI299" s="38" t="s">
        <v>34</v>
      </c>
      <c r="AJ299" s="38" t="s">
        <v>35</v>
      </c>
      <c r="AK299" s="38" t="s">
        <v>36</v>
      </c>
      <c r="AL299" s="38" t="s">
        <v>37</v>
      </c>
      <c r="AM299" s="27" t="s">
        <v>38</v>
      </c>
      <c r="AN299" s="27" t="s">
        <v>39</v>
      </c>
      <c r="AO299" s="27" t="s">
        <v>40</v>
      </c>
      <c r="AP299" s="27" t="s">
        <v>41</v>
      </c>
      <c r="AQ299" s="27" t="s">
        <v>42</v>
      </c>
      <c r="AR299" s="27" t="s">
        <v>43</v>
      </c>
      <c r="AS299" s="27" t="s">
        <v>44</v>
      </c>
      <c r="AT299" s="27" t="s">
        <v>45</v>
      </c>
      <c r="AU299" s="27" t="s">
        <v>46</v>
      </c>
      <c r="AV299" s="27" t="s">
        <v>47</v>
      </c>
      <c r="AW299" s="27" t="s">
        <v>37</v>
      </c>
      <c r="AX299" s="42" t="s">
        <v>48</v>
      </c>
      <c r="AY299" s="42" t="s">
        <v>49</v>
      </c>
      <c r="AZ299" s="42" t="s">
        <v>50</v>
      </c>
      <c r="BA299" s="42" t="s">
        <v>51</v>
      </c>
      <c r="BB299" s="42" t="s">
        <v>52</v>
      </c>
      <c r="BC299" s="42" t="s">
        <v>53</v>
      </c>
      <c r="BD299" s="42" t="s">
        <v>54</v>
      </c>
      <c r="BE299" s="42" t="s">
        <v>55</v>
      </c>
      <c r="BF299" s="42" t="s">
        <v>56</v>
      </c>
      <c r="BG299" s="42" t="s">
        <v>57</v>
      </c>
      <c r="BH299" s="42" t="s">
        <v>58</v>
      </c>
      <c r="BI299" s="11" t="s">
        <v>28</v>
      </c>
      <c r="BJ299" s="11" t="s">
        <v>59</v>
      </c>
      <c r="BK299" s="11" t="s">
        <v>60</v>
      </c>
      <c r="BL299" s="32" t="s">
        <v>61</v>
      </c>
      <c r="BM299" s="32" t="s">
        <v>62</v>
      </c>
      <c r="BN299" s="32" t="s">
        <v>63</v>
      </c>
      <c r="BO299" s="32" t="s">
        <v>64</v>
      </c>
      <c r="BP299" s="32" t="s">
        <v>65</v>
      </c>
      <c r="BQ299" s="32" t="s">
        <v>66</v>
      </c>
      <c r="BR299" s="33" t="s">
        <v>67</v>
      </c>
      <c r="BS299" s="33" t="s">
        <v>68</v>
      </c>
      <c r="BT299" s="33" t="s">
        <v>69</v>
      </c>
      <c r="BU299" s="33" t="s">
        <v>70</v>
      </c>
      <c r="BV299" s="33" t="s">
        <v>71</v>
      </c>
      <c r="BW299" s="33" t="s">
        <v>82</v>
      </c>
      <c r="BX299" s="33" t="s">
        <v>73</v>
      </c>
      <c r="BY299" s="10" t="s">
        <v>74</v>
      </c>
    </row>
    <row r="300" spans="1:77">
      <c r="A300" s="57" t="s">
        <v>88</v>
      </c>
      <c r="B300" s="12"/>
      <c r="C300" s="13"/>
      <c r="D300" s="13"/>
      <c r="E300" s="14"/>
      <c r="F300" s="13"/>
      <c r="G300" s="13"/>
      <c r="H300" s="13"/>
      <c r="I300" s="13"/>
      <c r="J300" s="13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13"/>
      <c r="BJ300" s="13"/>
      <c r="BK300" s="13"/>
      <c r="BL300" s="46"/>
      <c r="BM300" s="46"/>
      <c r="BN300" s="46"/>
      <c r="BO300" s="46"/>
      <c r="BP300" s="46"/>
      <c r="BQ300" s="46"/>
      <c r="BR300" s="34"/>
      <c r="BS300" s="34"/>
      <c r="BT300" s="34"/>
      <c r="BU300" s="34"/>
      <c r="BV300" s="34"/>
      <c r="BW300" s="34"/>
      <c r="BX300" s="34"/>
      <c r="BY300" s="4"/>
    </row>
    <row r="301" spans="1:77">
      <c r="A301" s="57"/>
      <c r="B301" s="12"/>
      <c r="C301" s="13"/>
      <c r="D301" s="13"/>
      <c r="E301" s="14"/>
      <c r="F301" s="13"/>
      <c r="G301" s="13"/>
      <c r="H301" s="13"/>
      <c r="I301" s="13"/>
      <c r="J301" s="13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13"/>
      <c r="BJ301" s="13"/>
      <c r="BK301" s="13"/>
      <c r="BL301" s="46"/>
      <c r="BM301" s="46"/>
      <c r="BN301" s="46"/>
      <c r="BO301" s="46"/>
      <c r="BP301" s="46"/>
      <c r="BQ301" s="46"/>
      <c r="BR301" s="34"/>
      <c r="BS301" s="34"/>
      <c r="BT301" s="34"/>
      <c r="BU301" s="34"/>
      <c r="BV301" s="34"/>
      <c r="BW301" s="34"/>
      <c r="BX301" s="34"/>
      <c r="BY301" s="4"/>
    </row>
    <row r="302" spans="1:77">
      <c r="A302" s="57"/>
      <c r="B302" s="12"/>
      <c r="C302" s="13"/>
      <c r="D302" s="13"/>
      <c r="E302" s="14"/>
      <c r="F302" s="13"/>
      <c r="G302" s="13"/>
      <c r="H302" s="13"/>
      <c r="I302" s="13"/>
      <c r="J302" s="13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13"/>
      <c r="BJ302" s="13"/>
      <c r="BK302" s="13"/>
      <c r="BL302" s="46"/>
      <c r="BM302" s="46"/>
      <c r="BN302" s="46"/>
      <c r="BO302" s="46"/>
      <c r="BP302" s="46"/>
      <c r="BQ302" s="46"/>
      <c r="BR302" s="34"/>
      <c r="BS302" s="34"/>
      <c r="BT302" s="34"/>
      <c r="BU302" s="34"/>
      <c r="BV302" s="34"/>
      <c r="BW302" s="34"/>
      <c r="BX302" s="34"/>
      <c r="BY302" s="4"/>
    </row>
    <row r="303" spans="1:77">
      <c r="A303" s="57"/>
      <c r="B303" s="12"/>
      <c r="C303" s="13"/>
      <c r="D303" s="13"/>
      <c r="E303" s="14"/>
      <c r="F303" s="13"/>
      <c r="G303" s="13"/>
      <c r="H303" s="13"/>
      <c r="I303" s="13"/>
      <c r="J303" s="13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13"/>
      <c r="BJ303" s="13"/>
      <c r="BK303" s="13"/>
      <c r="BL303" s="46"/>
      <c r="BM303" s="46"/>
      <c r="BN303" s="46"/>
      <c r="BO303" s="46"/>
      <c r="BP303" s="46"/>
      <c r="BQ303" s="46"/>
      <c r="BR303" s="34"/>
      <c r="BS303" s="34"/>
      <c r="BT303" s="34"/>
      <c r="BU303" s="34"/>
      <c r="BV303" s="34"/>
      <c r="BW303" s="34"/>
      <c r="BX303" s="34"/>
      <c r="BY303" s="4"/>
    </row>
    <row r="304" spans="1:77">
      <c r="A304" s="57"/>
      <c r="B304" s="12"/>
      <c r="C304" s="13"/>
      <c r="D304" s="13"/>
      <c r="E304" s="14"/>
      <c r="F304" s="13"/>
      <c r="G304" s="13"/>
      <c r="H304" s="13"/>
      <c r="I304" s="13"/>
      <c r="J304" s="13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13"/>
      <c r="BJ304" s="13"/>
      <c r="BK304" s="13"/>
      <c r="BL304" s="46"/>
      <c r="BM304" s="46"/>
      <c r="BN304" s="46"/>
      <c r="BO304" s="46"/>
      <c r="BP304" s="46"/>
      <c r="BQ304" s="46"/>
      <c r="BR304" s="34"/>
      <c r="BS304" s="34"/>
      <c r="BT304" s="34"/>
      <c r="BU304" s="34"/>
      <c r="BV304" s="34"/>
      <c r="BW304" s="34"/>
      <c r="BX304" s="34"/>
      <c r="BY304" s="4"/>
    </row>
    <row r="305" spans="1:77">
      <c r="A305" s="57"/>
      <c r="B305" s="12"/>
      <c r="C305" s="13"/>
      <c r="D305" s="13"/>
      <c r="E305" s="14"/>
      <c r="F305" s="13"/>
      <c r="G305" s="13"/>
      <c r="H305" s="13"/>
      <c r="I305" s="13"/>
      <c r="J305" s="13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13"/>
      <c r="BJ305" s="13"/>
      <c r="BK305" s="13"/>
      <c r="BL305" s="46"/>
      <c r="BM305" s="46"/>
      <c r="BN305" s="46"/>
      <c r="BO305" s="46"/>
      <c r="BP305" s="46"/>
      <c r="BQ305" s="46"/>
      <c r="BR305" s="34"/>
      <c r="BS305" s="34"/>
      <c r="BT305" s="34"/>
      <c r="BU305" s="34"/>
      <c r="BV305" s="34"/>
      <c r="BW305" s="34"/>
      <c r="BX305" s="34"/>
      <c r="BY305" s="4"/>
    </row>
    <row r="306" spans="1:77">
      <c r="A306" s="57"/>
      <c r="B306" s="12"/>
      <c r="C306" s="13"/>
      <c r="D306" s="13"/>
      <c r="E306" s="14"/>
      <c r="F306" s="13"/>
      <c r="G306" s="13"/>
      <c r="H306" s="13"/>
      <c r="I306" s="13"/>
      <c r="J306" s="13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13"/>
      <c r="BJ306" s="13"/>
      <c r="BK306" s="13"/>
      <c r="BL306" s="46"/>
      <c r="BM306" s="46"/>
      <c r="BN306" s="46"/>
      <c r="BO306" s="46"/>
      <c r="BP306" s="46"/>
      <c r="BQ306" s="46"/>
      <c r="BR306" s="34"/>
      <c r="BS306" s="34"/>
      <c r="BT306" s="34"/>
      <c r="BU306" s="34"/>
      <c r="BV306" s="34"/>
      <c r="BW306" s="34"/>
      <c r="BX306" s="34"/>
      <c r="BY306" s="4"/>
    </row>
    <row r="307" spans="1:77">
      <c r="A307" s="57"/>
      <c r="B307" s="12"/>
      <c r="C307" s="13"/>
      <c r="D307" s="13"/>
      <c r="E307" s="14"/>
      <c r="F307" s="13"/>
      <c r="G307" s="13"/>
      <c r="H307" s="13"/>
      <c r="I307" s="13"/>
      <c r="J307" s="13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13"/>
      <c r="BJ307" s="13"/>
      <c r="BK307" s="13"/>
      <c r="BL307" s="46"/>
      <c r="BM307" s="46"/>
      <c r="BN307" s="46"/>
      <c r="BO307" s="46"/>
      <c r="BP307" s="46"/>
      <c r="BQ307" s="46"/>
      <c r="BR307" s="34"/>
      <c r="BS307" s="34"/>
      <c r="BT307" s="34"/>
      <c r="BU307" s="34"/>
      <c r="BV307" s="34"/>
      <c r="BW307" s="34"/>
      <c r="BX307" s="34"/>
      <c r="BY307" s="4"/>
    </row>
    <row r="308" spans="1:77">
      <c r="A308" s="57"/>
      <c r="B308" s="12"/>
      <c r="C308" s="13"/>
      <c r="D308" s="13"/>
      <c r="E308" s="14"/>
      <c r="F308" s="13"/>
      <c r="G308" s="13"/>
      <c r="H308" s="13"/>
      <c r="I308" s="13"/>
      <c r="J308" s="13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13"/>
      <c r="BJ308" s="13"/>
      <c r="BK308" s="13"/>
      <c r="BL308" s="46"/>
      <c r="BM308" s="46"/>
      <c r="BN308" s="46"/>
      <c r="BO308" s="46"/>
      <c r="BP308" s="46"/>
      <c r="BQ308" s="46"/>
      <c r="BR308" s="34"/>
      <c r="BS308" s="34"/>
      <c r="BT308" s="34"/>
      <c r="BU308" s="34"/>
      <c r="BV308" s="34"/>
      <c r="BW308" s="34"/>
      <c r="BX308" s="34"/>
      <c r="BY308" s="4"/>
    </row>
    <row r="309" spans="1:77">
      <c r="A309" s="57"/>
      <c r="B309" s="12"/>
      <c r="C309" s="13"/>
      <c r="D309" s="13"/>
      <c r="E309" s="14"/>
      <c r="F309" s="13"/>
      <c r="G309" s="13"/>
      <c r="H309" s="13"/>
      <c r="I309" s="13"/>
      <c r="J309" s="13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13"/>
      <c r="BJ309" s="13"/>
      <c r="BK309" s="13"/>
      <c r="BL309" s="46"/>
      <c r="BM309" s="46"/>
      <c r="BN309" s="46"/>
      <c r="BO309" s="46"/>
      <c r="BP309" s="46"/>
      <c r="BQ309" s="46"/>
      <c r="BR309" s="34"/>
      <c r="BS309" s="34"/>
      <c r="BT309" s="34"/>
      <c r="BU309" s="34"/>
      <c r="BV309" s="34"/>
      <c r="BW309" s="34"/>
      <c r="BX309" s="34"/>
      <c r="BY309" s="4"/>
    </row>
    <row r="310" spans="1:77">
      <c r="A310" s="57"/>
      <c r="B310" s="12"/>
      <c r="C310" s="13"/>
      <c r="D310" s="13"/>
      <c r="E310" s="14"/>
      <c r="F310" s="13"/>
      <c r="G310" s="13"/>
      <c r="H310" s="13"/>
      <c r="I310" s="13"/>
      <c r="J310" s="13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13"/>
      <c r="BJ310" s="13"/>
      <c r="BK310" s="13"/>
      <c r="BL310" s="46"/>
      <c r="BM310" s="46"/>
      <c r="BN310" s="46"/>
      <c r="BO310" s="46"/>
      <c r="BP310" s="46"/>
      <c r="BQ310" s="46"/>
      <c r="BR310" s="34"/>
      <c r="BS310" s="34"/>
      <c r="BT310" s="34"/>
      <c r="BU310" s="34"/>
      <c r="BV310" s="34"/>
      <c r="BW310" s="34"/>
      <c r="BX310" s="34"/>
      <c r="BY310" s="4"/>
    </row>
    <row r="311" spans="1:77">
      <c r="A311" s="57"/>
      <c r="B311" s="12"/>
      <c r="C311" s="13"/>
      <c r="D311" s="13"/>
      <c r="E311" s="14"/>
      <c r="F311" s="13"/>
      <c r="G311" s="13"/>
      <c r="H311" s="13"/>
      <c r="I311" s="13"/>
      <c r="J311" s="13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13"/>
      <c r="BJ311" s="13"/>
      <c r="BK311" s="13"/>
      <c r="BL311" s="46"/>
      <c r="BM311" s="46"/>
      <c r="BN311" s="46"/>
      <c r="BO311" s="46"/>
      <c r="BP311" s="46"/>
      <c r="BQ311" s="46"/>
      <c r="BR311" s="34"/>
      <c r="BS311" s="34"/>
      <c r="BT311" s="34"/>
      <c r="BU311" s="34"/>
      <c r="BV311" s="34"/>
      <c r="BW311" s="34"/>
      <c r="BX311" s="34"/>
      <c r="BY311" s="4"/>
    </row>
    <row r="312" spans="1:77">
      <c r="A312" s="57"/>
      <c r="B312" s="13"/>
      <c r="C312" s="13"/>
      <c r="D312" s="13"/>
      <c r="E312" s="14"/>
      <c r="F312" s="13"/>
      <c r="G312" s="13"/>
      <c r="H312" s="13"/>
      <c r="I312" s="13"/>
      <c r="J312" s="13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13"/>
      <c r="BJ312" s="13"/>
      <c r="BK312" s="13"/>
      <c r="BL312" s="46"/>
      <c r="BM312" s="46"/>
      <c r="BN312" s="46"/>
      <c r="BO312" s="46"/>
      <c r="BP312" s="46"/>
      <c r="BQ312" s="46"/>
      <c r="BR312" s="34"/>
      <c r="BS312" s="34"/>
      <c r="BT312" s="34"/>
      <c r="BU312" s="34"/>
      <c r="BV312" s="34"/>
      <c r="BW312" s="34"/>
      <c r="BX312" s="34"/>
      <c r="BY312" s="4"/>
    </row>
    <row r="313" spans="1:77">
      <c r="A313" s="57"/>
      <c r="B313" s="13"/>
      <c r="C313" s="13"/>
      <c r="D313" s="13"/>
      <c r="E313" s="14"/>
      <c r="F313" s="13"/>
      <c r="G313" s="13"/>
      <c r="H313" s="13"/>
      <c r="I313" s="13"/>
      <c r="J313" s="13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13"/>
      <c r="BJ313" s="13"/>
      <c r="BK313" s="13"/>
      <c r="BL313" s="46"/>
      <c r="BM313" s="46"/>
      <c r="BN313" s="46"/>
      <c r="BO313" s="46"/>
      <c r="BP313" s="46"/>
      <c r="BQ313" s="46"/>
      <c r="BR313" s="34"/>
      <c r="BS313" s="34"/>
      <c r="BT313" s="34"/>
      <c r="BU313" s="34"/>
      <c r="BV313" s="34"/>
      <c r="BW313" s="34"/>
      <c r="BX313" s="34"/>
      <c r="BY313" s="4"/>
    </row>
    <row r="314" spans="1:77">
      <c r="A314" s="57"/>
      <c r="B314" s="12"/>
      <c r="C314" s="13"/>
      <c r="D314" s="13"/>
      <c r="E314" s="14"/>
      <c r="F314" s="13"/>
      <c r="G314" s="13"/>
      <c r="H314" s="13"/>
      <c r="I314" s="13"/>
      <c r="J314" s="13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13"/>
      <c r="BJ314" s="13"/>
      <c r="BK314" s="13"/>
      <c r="BL314" s="46"/>
      <c r="BM314" s="46"/>
      <c r="BN314" s="46"/>
      <c r="BO314" s="46"/>
      <c r="BP314" s="46"/>
      <c r="BQ314" s="46"/>
      <c r="BR314" s="34"/>
      <c r="BS314" s="34"/>
      <c r="BT314" s="34"/>
      <c r="BU314" s="34"/>
      <c r="BV314" s="34"/>
      <c r="BW314" s="34"/>
      <c r="BX314" s="34"/>
      <c r="BY314" s="4"/>
    </row>
    <row r="315" spans="1:77">
      <c r="A315" s="57"/>
      <c r="B315" s="13"/>
      <c r="C315" s="13"/>
      <c r="D315" s="13"/>
      <c r="E315" s="14"/>
      <c r="F315" s="13"/>
      <c r="G315" s="13"/>
      <c r="H315" s="13"/>
      <c r="I315" s="13"/>
      <c r="J315" s="13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13"/>
      <c r="BJ315" s="13"/>
      <c r="BK315" s="13"/>
      <c r="BL315" s="46"/>
      <c r="BM315" s="46"/>
      <c r="BN315" s="46"/>
      <c r="BO315" s="46"/>
      <c r="BP315" s="46"/>
      <c r="BQ315" s="46"/>
      <c r="BR315" s="34"/>
      <c r="BS315" s="34"/>
      <c r="BT315" s="34"/>
      <c r="BU315" s="34"/>
      <c r="BV315" s="34"/>
      <c r="BW315" s="34"/>
      <c r="BX315" s="34"/>
      <c r="BY315" s="4"/>
    </row>
    <row r="316" spans="1:77">
      <c r="A316" s="57"/>
      <c r="B316" s="13"/>
      <c r="C316" s="13"/>
      <c r="D316" s="13"/>
      <c r="E316" s="14"/>
      <c r="F316" s="13"/>
      <c r="G316" s="13"/>
      <c r="H316" s="13"/>
      <c r="I316" s="13"/>
      <c r="J316" s="13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13"/>
      <c r="BJ316" s="13"/>
      <c r="BK316" s="13"/>
      <c r="BL316" s="46"/>
      <c r="BM316" s="46"/>
      <c r="BN316" s="46"/>
      <c r="BO316" s="46"/>
      <c r="BP316" s="46"/>
      <c r="BQ316" s="46"/>
      <c r="BR316" s="34"/>
      <c r="BS316" s="34"/>
      <c r="BT316" s="34"/>
      <c r="BU316" s="34"/>
      <c r="BV316" s="34"/>
      <c r="BW316" s="34"/>
      <c r="BX316" s="34"/>
      <c r="BY316" s="4"/>
    </row>
    <row r="317" spans="1:77">
      <c r="A317" s="57"/>
      <c r="B317" s="12"/>
      <c r="C317" s="13"/>
      <c r="D317" s="13"/>
      <c r="E317" s="14"/>
      <c r="F317" s="13"/>
      <c r="G317" s="13"/>
      <c r="H317" s="13"/>
      <c r="I317" s="13"/>
      <c r="J317" s="13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13"/>
      <c r="BJ317" s="13"/>
      <c r="BK317" s="13"/>
      <c r="BL317" s="46"/>
      <c r="BM317" s="46"/>
      <c r="BN317" s="46"/>
      <c r="BO317" s="46"/>
      <c r="BP317" s="46"/>
      <c r="BQ317" s="46"/>
      <c r="BR317" s="34"/>
      <c r="BS317" s="34"/>
      <c r="BT317" s="34"/>
      <c r="BU317" s="34"/>
      <c r="BV317" s="34"/>
      <c r="BW317" s="34"/>
      <c r="BX317" s="34"/>
      <c r="BY317" s="4"/>
    </row>
    <row r="318" spans="1:77">
      <c r="A318" s="57"/>
      <c r="B318" s="13"/>
      <c r="C318" s="13"/>
      <c r="D318" s="13"/>
      <c r="E318" s="14"/>
      <c r="F318" s="13"/>
      <c r="G318" s="13"/>
      <c r="H318" s="13"/>
      <c r="I318" s="13"/>
      <c r="J318" s="13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13"/>
      <c r="BJ318" s="13"/>
      <c r="BK318" s="13"/>
      <c r="BL318" s="46"/>
      <c r="BM318" s="46"/>
      <c r="BN318" s="46"/>
      <c r="BO318" s="46"/>
      <c r="BP318" s="46"/>
      <c r="BQ318" s="46"/>
      <c r="BR318" s="34"/>
      <c r="BS318" s="34"/>
      <c r="BT318" s="34"/>
      <c r="BU318" s="34"/>
      <c r="BV318" s="34"/>
      <c r="BW318" s="34"/>
      <c r="BX318" s="34"/>
      <c r="BY318" s="4"/>
    </row>
    <row r="319" spans="1:77">
      <c r="A319" s="57"/>
      <c r="B319" s="12"/>
      <c r="C319" s="13"/>
      <c r="D319" s="13"/>
      <c r="E319" s="14"/>
      <c r="F319" s="13"/>
      <c r="G319" s="13"/>
      <c r="H319" s="13"/>
      <c r="I319" s="13"/>
      <c r="J319" s="13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13"/>
      <c r="BJ319" s="13"/>
      <c r="BK319" s="13"/>
      <c r="BL319" s="46"/>
      <c r="BM319" s="46"/>
      <c r="BN319" s="46"/>
      <c r="BO319" s="46"/>
      <c r="BP319" s="46"/>
      <c r="BQ319" s="46"/>
      <c r="BR319" s="34"/>
      <c r="BS319" s="34"/>
      <c r="BT319" s="34"/>
      <c r="BU319" s="34"/>
      <c r="BV319" s="34"/>
      <c r="BW319" s="34"/>
      <c r="BX319" s="34"/>
      <c r="BY319" s="4"/>
    </row>
    <row r="320" spans="1:77">
      <c r="A320" s="57"/>
      <c r="B320" s="13"/>
      <c r="C320" s="13"/>
      <c r="D320" s="13"/>
      <c r="E320" s="14"/>
      <c r="F320" s="13"/>
      <c r="G320" s="13"/>
      <c r="H320" s="13"/>
      <c r="I320" s="13"/>
      <c r="J320" s="13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13"/>
      <c r="BJ320" s="13"/>
      <c r="BK320" s="13"/>
      <c r="BL320" s="46"/>
      <c r="BM320" s="46"/>
      <c r="BN320" s="46"/>
      <c r="BO320" s="46"/>
      <c r="BP320" s="46"/>
      <c r="BQ320" s="46"/>
      <c r="BR320" s="34"/>
      <c r="BS320" s="34"/>
      <c r="BT320" s="34"/>
      <c r="BU320" s="34"/>
      <c r="BV320" s="34"/>
      <c r="BW320" s="34"/>
      <c r="BX320" s="34"/>
      <c r="BY320" s="4"/>
    </row>
    <row r="321" spans="1:77">
      <c r="A321" s="57"/>
      <c r="B321" s="12"/>
      <c r="C321" s="13"/>
      <c r="D321" s="13"/>
      <c r="E321" s="14"/>
      <c r="F321" s="13"/>
      <c r="G321" s="13"/>
      <c r="H321" s="13"/>
      <c r="I321" s="13"/>
      <c r="J321" s="13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13"/>
      <c r="BJ321" s="13"/>
      <c r="BK321" s="13"/>
      <c r="BL321" s="46"/>
      <c r="BM321" s="46"/>
      <c r="BN321" s="46"/>
      <c r="BO321" s="46"/>
      <c r="BP321" s="46"/>
      <c r="BQ321" s="46"/>
      <c r="BR321" s="34"/>
      <c r="BS321" s="34"/>
      <c r="BT321" s="34"/>
      <c r="BU321" s="34"/>
      <c r="BV321" s="34"/>
      <c r="BW321" s="34"/>
      <c r="BX321" s="34"/>
      <c r="BY321" s="4"/>
    </row>
    <row r="322" spans="1:77">
      <c r="A322" s="57"/>
      <c r="B322" s="12"/>
      <c r="C322" s="13"/>
      <c r="D322" s="13"/>
      <c r="E322" s="14"/>
      <c r="F322" s="13"/>
      <c r="G322" s="13"/>
      <c r="H322" s="13"/>
      <c r="I322" s="13"/>
      <c r="J322" s="13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13"/>
      <c r="BJ322" s="13"/>
      <c r="BK322" s="13"/>
      <c r="BL322" s="46"/>
      <c r="BM322" s="46"/>
      <c r="BN322" s="46"/>
      <c r="BO322" s="46"/>
      <c r="BP322" s="46"/>
      <c r="BQ322" s="46"/>
      <c r="BR322" s="34"/>
      <c r="BS322" s="34"/>
      <c r="BT322" s="34"/>
      <c r="BU322" s="34"/>
      <c r="BV322" s="34"/>
      <c r="BW322" s="34"/>
      <c r="BX322" s="34"/>
      <c r="BY322" s="4"/>
    </row>
    <row r="323" spans="1:77">
      <c r="A323" s="57"/>
      <c r="B323" s="13"/>
      <c r="C323" s="13"/>
      <c r="D323" s="13"/>
      <c r="E323" s="14"/>
      <c r="F323" s="13"/>
      <c r="G323" s="13"/>
      <c r="H323" s="13"/>
      <c r="I323" s="13"/>
      <c r="J323" s="13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13"/>
      <c r="BJ323" s="13"/>
      <c r="BK323" s="13"/>
      <c r="BL323" s="46"/>
      <c r="BM323" s="46"/>
      <c r="BN323" s="46"/>
      <c r="BO323" s="46"/>
      <c r="BP323" s="46"/>
      <c r="BQ323" s="46"/>
      <c r="BR323" s="34"/>
      <c r="BS323" s="34"/>
      <c r="BT323" s="34"/>
      <c r="BU323" s="34"/>
      <c r="BV323" s="34"/>
      <c r="BW323" s="34"/>
      <c r="BX323" s="34"/>
      <c r="BY323" s="4"/>
    </row>
    <row r="324" spans="1:77">
      <c r="A324" s="57"/>
      <c r="B324" s="13"/>
      <c r="C324" s="13"/>
      <c r="D324" s="13"/>
      <c r="E324" s="14"/>
      <c r="F324" s="13"/>
      <c r="G324" s="13"/>
      <c r="H324" s="13"/>
      <c r="I324" s="13"/>
      <c r="J324" s="13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13"/>
      <c r="BJ324" s="13"/>
      <c r="BK324" s="13"/>
      <c r="BL324" s="46"/>
      <c r="BM324" s="46"/>
      <c r="BN324" s="46"/>
      <c r="BO324" s="46"/>
      <c r="BP324" s="46"/>
      <c r="BQ324" s="46"/>
      <c r="BR324" s="34"/>
      <c r="BS324" s="34"/>
      <c r="BT324" s="34"/>
      <c r="BU324" s="34"/>
      <c r="BV324" s="34"/>
      <c r="BW324" s="34"/>
      <c r="BX324" s="34"/>
      <c r="BY324" s="4"/>
    </row>
    <row r="325" spans="1:77">
      <c r="A325" s="57"/>
      <c r="B325" s="12"/>
      <c r="C325" s="13"/>
      <c r="D325" s="13"/>
      <c r="E325" s="14"/>
      <c r="F325" s="13"/>
      <c r="G325" s="13"/>
      <c r="H325" s="13"/>
      <c r="I325" s="13"/>
      <c r="J325" s="13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13"/>
      <c r="BJ325" s="13"/>
      <c r="BK325" s="13"/>
      <c r="BL325" s="46"/>
      <c r="BM325" s="46"/>
      <c r="BN325" s="46"/>
      <c r="BO325" s="46"/>
      <c r="BP325" s="46"/>
      <c r="BQ325" s="46"/>
      <c r="BR325" s="34"/>
      <c r="BS325" s="34"/>
      <c r="BT325" s="34"/>
      <c r="BU325" s="34"/>
      <c r="BV325" s="34"/>
      <c r="BW325" s="34"/>
      <c r="BX325" s="34"/>
      <c r="BY325" s="4"/>
    </row>
    <row r="326" spans="1:77">
      <c r="A326" s="57"/>
      <c r="B326" s="13"/>
      <c r="C326" s="13"/>
      <c r="D326" s="13"/>
      <c r="E326" s="14"/>
      <c r="F326" s="13"/>
      <c r="G326" s="13"/>
      <c r="H326" s="13"/>
      <c r="I326" s="13"/>
      <c r="J326" s="13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13"/>
      <c r="BJ326" s="13"/>
      <c r="BK326" s="13"/>
      <c r="BL326" s="46"/>
      <c r="BM326" s="46"/>
      <c r="BN326" s="46"/>
      <c r="BO326" s="46"/>
      <c r="BP326" s="46"/>
      <c r="BQ326" s="46"/>
      <c r="BR326" s="34"/>
      <c r="BS326" s="34"/>
      <c r="BT326" s="34"/>
      <c r="BU326" s="34"/>
      <c r="BV326" s="34"/>
      <c r="BW326" s="34"/>
      <c r="BX326" s="34"/>
      <c r="BY326" s="4"/>
    </row>
    <row r="327" spans="1:77">
      <c r="A327" s="57"/>
      <c r="B327" s="13"/>
      <c r="C327" s="13"/>
      <c r="D327" s="13"/>
      <c r="E327" s="14"/>
      <c r="F327" s="13"/>
      <c r="G327" s="13"/>
      <c r="H327" s="13"/>
      <c r="I327" s="13"/>
      <c r="J327" s="13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13"/>
      <c r="BJ327" s="13"/>
      <c r="BK327" s="13"/>
      <c r="BL327" s="46"/>
      <c r="BM327" s="46"/>
      <c r="BN327" s="46"/>
      <c r="BO327" s="46"/>
      <c r="BP327" s="46"/>
      <c r="BQ327" s="46"/>
      <c r="BR327" s="34"/>
      <c r="BS327" s="34"/>
      <c r="BT327" s="34"/>
      <c r="BU327" s="34"/>
      <c r="BV327" s="34"/>
      <c r="BW327" s="34"/>
      <c r="BX327" s="34"/>
      <c r="BY327" s="4"/>
    </row>
    <row r="328" spans="1:77">
      <c r="A328" s="57"/>
      <c r="B328" s="12"/>
      <c r="C328" s="13"/>
      <c r="D328" s="13"/>
      <c r="E328" s="14"/>
      <c r="F328" s="13"/>
      <c r="G328" s="13"/>
      <c r="H328" s="13"/>
      <c r="I328" s="13"/>
      <c r="J328" s="13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13"/>
      <c r="BJ328" s="13"/>
      <c r="BK328" s="13"/>
      <c r="BL328" s="46"/>
      <c r="BM328" s="46"/>
      <c r="BN328" s="46"/>
      <c r="BO328" s="46"/>
      <c r="BP328" s="46"/>
      <c r="BQ328" s="46"/>
      <c r="BR328" s="34"/>
      <c r="BS328" s="34"/>
      <c r="BT328" s="34"/>
      <c r="BU328" s="34"/>
      <c r="BV328" s="34"/>
      <c r="BW328" s="34"/>
      <c r="BX328" s="34"/>
      <c r="BY328" s="4"/>
    </row>
    <row r="329" spans="1:77">
      <c r="A329" s="57"/>
      <c r="B329" s="13"/>
      <c r="C329" s="13"/>
      <c r="D329" s="13"/>
      <c r="E329" s="14"/>
      <c r="F329" s="13"/>
      <c r="G329" s="13"/>
      <c r="H329" s="13"/>
      <c r="I329" s="13"/>
      <c r="J329" s="13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13"/>
      <c r="BJ329" s="13"/>
      <c r="BK329" s="13"/>
      <c r="BL329" s="46"/>
      <c r="BM329" s="46"/>
      <c r="BN329" s="46"/>
      <c r="BO329" s="46"/>
      <c r="BP329" s="46"/>
      <c r="BQ329" s="46"/>
      <c r="BR329" s="34"/>
      <c r="BS329" s="34"/>
      <c r="BT329" s="34"/>
      <c r="BU329" s="34"/>
      <c r="BV329" s="34"/>
      <c r="BW329" s="34"/>
      <c r="BX329" s="34"/>
      <c r="BY329" s="4"/>
    </row>
    <row r="330" spans="1:77">
      <c r="A330" s="57"/>
      <c r="B330" s="12"/>
      <c r="C330" s="13"/>
      <c r="D330" s="13"/>
      <c r="E330" s="14"/>
      <c r="F330" s="13"/>
      <c r="G330" s="13"/>
      <c r="H330" s="13"/>
      <c r="I330" s="13"/>
      <c r="J330" s="13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13"/>
      <c r="BJ330" s="13"/>
      <c r="BK330" s="13"/>
      <c r="BL330" s="46"/>
      <c r="BM330" s="46"/>
      <c r="BN330" s="46"/>
      <c r="BO330" s="46"/>
      <c r="BP330" s="46"/>
      <c r="BQ330" s="46"/>
      <c r="BR330" s="34"/>
      <c r="BS330" s="34"/>
      <c r="BT330" s="34"/>
      <c r="BU330" s="34"/>
      <c r="BV330" s="34"/>
      <c r="BW330" s="34"/>
      <c r="BX330" s="34"/>
      <c r="BY330" s="4"/>
    </row>
    <row r="331" spans="1:77">
      <c r="A331" s="57"/>
      <c r="B331" s="12"/>
      <c r="C331" s="13"/>
      <c r="D331" s="13"/>
      <c r="E331" s="14"/>
      <c r="F331" s="13"/>
      <c r="G331" s="13"/>
      <c r="H331" s="13"/>
      <c r="I331" s="13"/>
      <c r="J331" s="13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13"/>
      <c r="BJ331" s="13"/>
      <c r="BK331" s="13"/>
      <c r="BL331" s="46"/>
      <c r="BM331" s="46"/>
      <c r="BN331" s="46"/>
      <c r="BO331" s="46"/>
      <c r="BP331" s="46"/>
      <c r="BQ331" s="46"/>
      <c r="BR331" s="34"/>
      <c r="BS331" s="34"/>
      <c r="BT331" s="34"/>
      <c r="BU331" s="34"/>
      <c r="BV331" s="34"/>
      <c r="BW331" s="34"/>
      <c r="BX331" s="34"/>
      <c r="BY331" s="4"/>
    </row>
    <row r="332" spans="1:77">
      <c r="A332" s="57"/>
      <c r="B332" s="13"/>
      <c r="C332" s="13"/>
      <c r="D332" s="13"/>
      <c r="E332" s="14"/>
      <c r="F332" s="13"/>
      <c r="G332" s="13"/>
      <c r="H332" s="13"/>
      <c r="I332" s="13"/>
      <c r="J332" s="13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13"/>
      <c r="BJ332" s="13"/>
      <c r="BK332" s="13"/>
      <c r="BL332" s="46"/>
      <c r="BM332" s="46"/>
      <c r="BN332" s="46"/>
      <c r="BO332" s="46"/>
      <c r="BP332" s="46"/>
      <c r="BQ332" s="46"/>
      <c r="BR332" s="34"/>
      <c r="BS332" s="34"/>
      <c r="BT332" s="34"/>
      <c r="BU332" s="34"/>
      <c r="BV332" s="34"/>
      <c r="BW332" s="34"/>
      <c r="BX332" s="34"/>
      <c r="BY332" s="4"/>
    </row>
    <row r="333" spans="1:77">
      <c r="A333" s="57"/>
      <c r="B333" s="13"/>
      <c r="C333" s="13"/>
      <c r="D333" s="13"/>
      <c r="E333" s="14"/>
      <c r="F333" s="13"/>
      <c r="G333" s="13"/>
      <c r="H333" s="13"/>
      <c r="I333" s="13"/>
      <c r="J333" s="13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13"/>
      <c r="BJ333" s="13"/>
      <c r="BK333" s="13"/>
      <c r="BL333" s="46"/>
      <c r="BM333" s="46"/>
      <c r="BN333" s="46"/>
      <c r="BO333" s="46"/>
      <c r="BP333" s="46"/>
      <c r="BQ333" s="46"/>
      <c r="BR333" s="34"/>
      <c r="BS333" s="34"/>
      <c r="BT333" s="34"/>
      <c r="BU333" s="34"/>
      <c r="BV333" s="34"/>
      <c r="BW333" s="34"/>
      <c r="BX333" s="34"/>
      <c r="BY333" s="4"/>
    </row>
    <row r="334" spans="1:77">
      <c r="A334" s="57"/>
      <c r="B334" s="12"/>
      <c r="C334" s="13"/>
      <c r="D334" s="13"/>
      <c r="E334" s="14"/>
      <c r="F334" s="13"/>
      <c r="G334" s="13"/>
      <c r="H334" s="13"/>
      <c r="I334" s="13"/>
      <c r="J334" s="13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13"/>
      <c r="BJ334" s="13"/>
      <c r="BK334" s="13"/>
      <c r="BL334" s="46"/>
      <c r="BM334" s="46"/>
      <c r="BN334" s="46"/>
      <c r="BO334" s="46"/>
      <c r="BP334" s="46"/>
      <c r="BQ334" s="46"/>
      <c r="BR334" s="34"/>
      <c r="BS334" s="34"/>
      <c r="BT334" s="34"/>
      <c r="BU334" s="34"/>
      <c r="BV334" s="34"/>
      <c r="BW334" s="34"/>
      <c r="BX334" s="34"/>
      <c r="BY334" s="4"/>
    </row>
    <row r="335" spans="1:77">
      <c r="A335" s="57"/>
      <c r="B335" s="13"/>
      <c r="C335" s="13"/>
      <c r="D335" s="13"/>
      <c r="E335" s="14"/>
      <c r="F335" s="13"/>
      <c r="G335" s="13"/>
      <c r="H335" s="13"/>
      <c r="I335" s="13"/>
      <c r="J335" s="13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13"/>
      <c r="BJ335" s="13"/>
      <c r="BK335" s="13"/>
      <c r="BL335" s="46"/>
      <c r="BM335" s="46"/>
      <c r="BN335" s="46"/>
      <c r="BO335" s="46"/>
      <c r="BP335" s="46"/>
      <c r="BQ335" s="46"/>
      <c r="BR335" s="34"/>
      <c r="BS335" s="34"/>
      <c r="BT335" s="34"/>
      <c r="BU335" s="34"/>
      <c r="BV335" s="34"/>
      <c r="BW335" s="34"/>
      <c r="BX335" s="34"/>
      <c r="BY335" s="4"/>
    </row>
    <row r="336" spans="1:77">
      <c r="A336" s="57"/>
      <c r="B336" s="13"/>
      <c r="C336" s="13"/>
      <c r="D336" s="13"/>
      <c r="E336" s="14"/>
      <c r="F336" s="13"/>
      <c r="G336" s="13"/>
      <c r="H336" s="13"/>
      <c r="I336" s="13"/>
      <c r="J336" s="13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13"/>
      <c r="BJ336" s="13"/>
      <c r="BK336" s="13"/>
      <c r="BL336" s="46"/>
      <c r="BM336" s="46"/>
      <c r="BN336" s="46"/>
      <c r="BO336" s="46"/>
      <c r="BP336" s="46"/>
      <c r="BQ336" s="46"/>
      <c r="BR336" s="34"/>
      <c r="BS336" s="34"/>
      <c r="BT336" s="34"/>
      <c r="BU336" s="34"/>
      <c r="BV336" s="34"/>
      <c r="BW336" s="34"/>
      <c r="BX336" s="34"/>
      <c r="BY336" s="4"/>
    </row>
    <row r="337" spans="1:77">
      <c r="A337" s="57"/>
      <c r="B337" s="15"/>
      <c r="C337" s="13"/>
      <c r="D337" s="13"/>
      <c r="E337" s="14"/>
      <c r="F337" s="13"/>
      <c r="G337" s="13"/>
      <c r="H337" s="13"/>
      <c r="I337" s="13"/>
      <c r="J337" s="13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13"/>
      <c r="BJ337" s="13"/>
      <c r="BK337" s="13"/>
      <c r="BL337" s="46"/>
      <c r="BM337" s="46"/>
      <c r="BN337" s="46"/>
      <c r="BO337" s="46"/>
      <c r="BP337" s="46"/>
      <c r="BQ337" s="46"/>
      <c r="BR337" s="34"/>
      <c r="BS337" s="34"/>
      <c r="BT337" s="34"/>
      <c r="BU337" s="34"/>
      <c r="BV337" s="34"/>
      <c r="BW337" s="34"/>
      <c r="BX337" s="34"/>
      <c r="BY337" s="4"/>
    </row>
    <row r="338" spans="1:77">
      <c r="A338" s="57"/>
      <c r="B338" s="15"/>
      <c r="C338" s="13"/>
      <c r="D338" s="13"/>
      <c r="E338" s="14"/>
      <c r="F338" s="13"/>
      <c r="G338" s="13"/>
      <c r="H338" s="13"/>
      <c r="I338" s="13"/>
      <c r="J338" s="13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13"/>
      <c r="BJ338" s="13"/>
      <c r="BK338" s="13"/>
      <c r="BL338" s="46"/>
      <c r="BM338" s="46"/>
      <c r="BN338" s="46"/>
      <c r="BO338" s="46"/>
      <c r="BP338" s="46"/>
      <c r="BQ338" s="46"/>
      <c r="BR338" s="34"/>
      <c r="BS338" s="34"/>
      <c r="BT338" s="34"/>
      <c r="BU338" s="34"/>
      <c r="BV338" s="34"/>
      <c r="BW338" s="34"/>
      <c r="BX338" s="34"/>
      <c r="BY338" s="4"/>
    </row>
    <row r="339" spans="1:77">
      <c r="A339" s="57"/>
      <c r="B339" s="13"/>
      <c r="C339" s="13"/>
      <c r="D339" s="13"/>
      <c r="E339" s="14"/>
      <c r="F339" s="13"/>
      <c r="G339" s="13"/>
      <c r="H339" s="13"/>
      <c r="I339" s="13"/>
      <c r="J339" s="13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13"/>
      <c r="BJ339" s="13"/>
      <c r="BK339" s="13"/>
      <c r="BL339" s="46"/>
      <c r="BM339" s="46"/>
      <c r="BN339" s="46"/>
      <c r="BO339" s="46"/>
      <c r="BP339" s="46"/>
      <c r="BQ339" s="46"/>
      <c r="BR339" s="34"/>
      <c r="BS339" s="34"/>
      <c r="BT339" s="34"/>
      <c r="BU339" s="34"/>
      <c r="BV339" s="34"/>
      <c r="BW339" s="34"/>
      <c r="BX339" s="34"/>
      <c r="BY339" s="4"/>
    </row>
    <row r="340" spans="1:77">
      <c r="A340" s="57"/>
      <c r="B340" s="13"/>
      <c r="C340" s="13"/>
      <c r="D340" s="13"/>
      <c r="E340" s="14"/>
      <c r="F340" s="13"/>
      <c r="G340" s="13"/>
      <c r="H340" s="13"/>
      <c r="I340" s="13"/>
      <c r="J340" s="13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13"/>
      <c r="BJ340" s="13"/>
      <c r="BK340" s="13"/>
      <c r="BL340" s="46"/>
      <c r="BM340" s="46"/>
      <c r="BN340" s="46"/>
      <c r="BO340" s="46"/>
      <c r="BP340" s="46"/>
      <c r="BQ340" s="46"/>
      <c r="BR340" s="34"/>
      <c r="BS340" s="34"/>
      <c r="BT340" s="34"/>
      <c r="BU340" s="34"/>
      <c r="BV340" s="34"/>
      <c r="BW340" s="34"/>
      <c r="BX340" s="34"/>
      <c r="BY340" s="4"/>
    </row>
    <row r="341" spans="1:77">
      <c r="A341" s="57"/>
      <c r="B341" s="15"/>
      <c r="C341" s="13"/>
      <c r="D341" s="13"/>
      <c r="E341" s="14"/>
      <c r="F341" s="13"/>
      <c r="G341" s="13"/>
      <c r="H341" s="13"/>
      <c r="I341" s="13"/>
      <c r="J341" s="13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13"/>
      <c r="BJ341" s="13"/>
      <c r="BK341" s="13"/>
      <c r="BL341" s="46"/>
      <c r="BM341" s="46"/>
      <c r="BN341" s="46"/>
      <c r="BO341" s="46"/>
      <c r="BP341" s="46"/>
      <c r="BQ341" s="46"/>
      <c r="BR341" s="34"/>
      <c r="BS341" s="34"/>
      <c r="BT341" s="34"/>
      <c r="BU341" s="34"/>
      <c r="BV341" s="34"/>
      <c r="BW341" s="34"/>
      <c r="BX341" s="34"/>
      <c r="BY341" s="4"/>
    </row>
    <row r="342" spans="1:77">
      <c r="A342" s="57"/>
      <c r="B342" s="13"/>
      <c r="C342" s="13"/>
      <c r="D342" s="13"/>
      <c r="E342" s="14"/>
      <c r="F342" s="13"/>
      <c r="G342" s="13"/>
      <c r="H342" s="13"/>
      <c r="I342" s="13"/>
      <c r="J342" s="13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13"/>
      <c r="BJ342" s="13"/>
      <c r="BK342" s="13"/>
      <c r="BL342" s="46"/>
      <c r="BM342" s="46"/>
      <c r="BN342" s="46"/>
      <c r="BO342" s="46"/>
      <c r="BP342" s="46"/>
      <c r="BQ342" s="46"/>
      <c r="BR342" s="34"/>
      <c r="BS342" s="34"/>
      <c r="BT342" s="34"/>
      <c r="BU342" s="34"/>
      <c r="BV342" s="34"/>
      <c r="BW342" s="34"/>
      <c r="BX342" s="34"/>
      <c r="BY342" s="4"/>
    </row>
    <row r="343" spans="1:77">
      <c r="A343" s="57"/>
      <c r="B343" s="12"/>
      <c r="C343" s="13"/>
      <c r="D343" s="13"/>
      <c r="E343" s="14"/>
      <c r="F343" s="13"/>
      <c r="G343" s="13"/>
      <c r="H343" s="13"/>
      <c r="I343" s="13"/>
      <c r="J343" s="13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13"/>
      <c r="BJ343" s="13"/>
      <c r="BK343" s="13"/>
      <c r="BL343" s="46"/>
      <c r="BM343" s="46"/>
      <c r="BN343" s="46"/>
      <c r="BO343" s="46"/>
      <c r="BP343" s="46"/>
      <c r="BQ343" s="46"/>
      <c r="BR343" s="34"/>
      <c r="BS343" s="34"/>
      <c r="BT343" s="34"/>
      <c r="BU343" s="34"/>
      <c r="BV343" s="34"/>
      <c r="BW343" s="34"/>
      <c r="BX343" s="34"/>
      <c r="BY343" s="4"/>
    </row>
    <row r="344" spans="1:77">
      <c r="A344" s="57"/>
      <c r="B344" s="13"/>
      <c r="C344" s="13"/>
      <c r="D344" s="13"/>
      <c r="E344" s="14"/>
      <c r="F344" s="13"/>
      <c r="G344" s="13"/>
      <c r="H344" s="13"/>
      <c r="I344" s="13"/>
      <c r="J344" s="13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13"/>
      <c r="BJ344" s="13"/>
      <c r="BK344" s="13"/>
      <c r="BL344" s="46"/>
      <c r="BM344" s="46"/>
      <c r="BN344" s="46"/>
      <c r="BO344" s="46"/>
      <c r="BP344" s="46"/>
      <c r="BQ344" s="46"/>
      <c r="BR344" s="34"/>
      <c r="BS344" s="34"/>
      <c r="BT344" s="34"/>
      <c r="BU344" s="34"/>
      <c r="BV344" s="34"/>
      <c r="BW344" s="34"/>
      <c r="BX344" s="34"/>
      <c r="BY344" s="4"/>
    </row>
    <row r="345" spans="1:77">
      <c r="A345" s="57"/>
      <c r="B345" s="13"/>
      <c r="C345" s="13"/>
      <c r="D345" s="13"/>
      <c r="E345" s="14"/>
      <c r="F345" s="13"/>
      <c r="G345" s="13"/>
      <c r="H345" s="13"/>
      <c r="I345" s="13"/>
      <c r="J345" s="13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13"/>
      <c r="BJ345" s="13"/>
      <c r="BK345" s="13"/>
      <c r="BL345" s="46"/>
      <c r="BM345" s="46"/>
      <c r="BN345" s="46"/>
      <c r="BO345" s="46"/>
      <c r="BP345" s="46"/>
      <c r="BQ345" s="46"/>
      <c r="BR345" s="34"/>
      <c r="BS345" s="34"/>
      <c r="BT345" s="34"/>
      <c r="BU345" s="34"/>
      <c r="BV345" s="34"/>
      <c r="BW345" s="34"/>
      <c r="BX345" s="34"/>
      <c r="BY345" s="4"/>
    </row>
    <row r="346" spans="1:77">
      <c r="A346" s="57"/>
      <c r="B346" s="12"/>
      <c r="C346" s="13"/>
      <c r="D346" s="13"/>
      <c r="E346" s="14"/>
      <c r="F346" s="13"/>
      <c r="G346" s="13"/>
      <c r="H346" s="13"/>
      <c r="I346" s="13"/>
      <c r="J346" s="13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13"/>
      <c r="BJ346" s="13"/>
      <c r="BK346" s="13"/>
      <c r="BL346" s="46"/>
      <c r="BM346" s="46"/>
      <c r="BN346" s="46"/>
      <c r="BO346" s="46"/>
      <c r="BP346" s="46"/>
      <c r="BQ346" s="46"/>
      <c r="BR346" s="34"/>
      <c r="BS346" s="34"/>
      <c r="BT346" s="34"/>
      <c r="BU346" s="34"/>
      <c r="BV346" s="34"/>
      <c r="BW346" s="34"/>
      <c r="BX346" s="34"/>
      <c r="BY346" s="4"/>
    </row>
    <row r="347" spans="1:77">
      <c r="A347" s="57"/>
      <c r="B347" s="13"/>
      <c r="C347" s="13"/>
      <c r="D347" s="13"/>
      <c r="E347" s="14"/>
      <c r="F347" s="13"/>
      <c r="G347" s="13"/>
      <c r="H347" s="13"/>
      <c r="I347" s="13"/>
      <c r="J347" s="13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13"/>
      <c r="BJ347" s="13"/>
      <c r="BK347" s="13"/>
      <c r="BL347" s="46"/>
      <c r="BM347" s="46"/>
      <c r="BN347" s="46"/>
      <c r="BO347" s="46"/>
      <c r="BP347" s="46"/>
      <c r="BQ347" s="46"/>
      <c r="BR347" s="34"/>
      <c r="BS347" s="34"/>
      <c r="BT347" s="34"/>
      <c r="BU347" s="34"/>
      <c r="BV347" s="34"/>
      <c r="BW347" s="34"/>
      <c r="BX347" s="34"/>
      <c r="BY347" s="4"/>
    </row>
    <row r="348" spans="1:77">
      <c r="A348" s="57"/>
      <c r="B348" s="12"/>
      <c r="C348" s="13"/>
      <c r="D348" s="13"/>
      <c r="E348" s="14"/>
      <c r="F348" s="13"/>
      <c r="G348" s="13"/>
      <c r="H348" s="13"/>
      <c r="I348" s="13"/>
      <c r="J348" s="13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13"/>
      <c r="BJ348" s="13"/>
      <c r="BK348" s="13"/>
      <c r="BL348" s="46"/>
      <c r="BM348" s="46"/>
      <c r="BN348" s="46"/>
      <c r="BO348" s="46"/>
      <c r="BP348" s="46"/>
      <c r="BQ348" s="46"/>
      <c r="BR348" s="34"/>
      <c r="BS348" s="34"/>
      <c r="BT348" s="34"/>
      <c r="BU348" s="34"/>
      <c r="BV348" s="34"/>
      <c r="BW348" s="34"/>
      <c r="BX348" s="34"/>
      <c r="BY348" s="4"/>
    </row>
    <row r="349" spans="1:77">
      <c r="A349" s="57"/>
      <c r="B349" s="13"/>
      <c r="C349" s="13"/>
      <c r="D349" s="13"/>
      <c r="E349" s="14"/>
      <c r="F349" s="13"/>
      <c r="G349" s="13"/>
      <c r="H349" s="13"/>
      <c r="I349" s="13"/>
      <c r="J349" s="13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13"/>
      <c r="BJ349" s="13"/>
      <c r="BK349" s="13"/>
      <c r="BL349" s="46"/>
      <c r="BM349" s="46"/>
      <c r="BN349" s="46"/>
      <c r="BO349" s="46"/>
      <c r="BP349" s="46"/>
      <c r="BQ349" s="46"/>
      <c r="BR349" s="34"/>
      <c r="BS349" s="34"/>
      <c r="BT349" s="34"/>
      <c r="BU349" s="34"/>
      <c r="BV349" s="34"/>
      <c r="BW349" s="34"/>
      <c r="BX349" s="34"/>
      <c r="BY349" s="4"/>
    </row>
    <row r="350" spans="1:77">
      <c r="A350" s="57"/>
      <c r="B350" s="12"/>
      <c r="C350" s="13"/>
      <c r="D350" s="13"/>
      <c r="E350" s="14"/>
      <c r="F350" s="13"/>
      <c r="G350" s="13"/>
      <c r="H350" s="13"/>
      <c r="I350" s="13"/>
      <c r="J350" s="13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13"/>
      <c r="BJ350" s="13"/>
      <c r="BK350" s="13"/>
      <c r="BL350" s="46"/>
      <c r="BM350" s="46"/>
      <c r="BN350" s="46"/>
      <c r="BO350" s="46"/>
      <c r="BP350" s="46"/>
      <c r="BQ350" s="46"/>
      <c r="BR350" s="34"/>
      <c r="BS350" s="34"/>
      <c r="BT350" s="34"/>
      <c r="BU350" s="34"/>
      <c r="BV350" s="34"/>
      <c r="BW350" s="34"/>
      <c r="BX350" s="34"/>
      <c r="BY350" s="4"/>
    </row>
    <row r="351" spans="1:77">
      <c r="A351" s="57"/>
      <c r="B351" s="13"/>
      <c r="C351" s="13"/>
      <c r="D351" s="13"/>
      <c r="E351" s="14"/>
      <c r="F351" s="13"/>
      <c r="G351" s="13"/>
      <c r="H351" s="13"/>
      <c r="I351" s="13"/>
      <c r="J351" s="13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13"/>
      <c r="BJ351" s="13"/>
      <c r="BK351" s="13"/>
      <c r="BL351" s="46"/>
      <c r="BM351" s="46"/>
      <c r="BN351" s="46"/>
      <c r="BO351" s="46"/>
      <c r="BP351" s="46"/>
      <c r="BQ351" s="46"/>
      <c r="BR351" s="34"/>
      <c r="BS351" s="34"/>
      <c r="BT351" s="34"/>
      <c r="BU351" s="34"/>
      <c r="BV351" s="34"/>
      <c r="BW351" s="34"/>
      <c r="BX351" s="34"/>
      <c r="BY351" s="4"/>
    </row>
    <row r="352" spans="1:77">
      <c r="A352" s="57"/>
      <c r="B352" s="12"/>
      <c r="C352" s="13"/>
      <c r="D352" s="13"/>
      <c r="E352" s="14"/>
      <c r="F352" s="13"/>
      <c r="G352" s="13"/>
      <c r="H352" s="13"/>
      <c r="I352" s="13"/>
      <c r="J352" s="13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13"/>
      <c r="BJ352" s="13"/>
      <c r="BK352" s="13"/>
      <c r="BL352" s="46"/>
      <c r="BM352" s="46"/>
      <c r="BN352" s="46"/>
      <c r="BO352" s="46"/>
      <c r="BP352" s="46"/>
      <c r="BQ352" s="46"/>
      <c r="BR352" s="34"/>
      <c r="BS352" s="34"/>
      <c r="BT352" s="34"/>
      <c r="BU352" s="34"/>
      <c r="BV352" s="34"/>
      <c r="BW352" s="34"/>
      <c r="BX352" s="34"/>
      <c r="BY352" s="4"/>
    </row>
    <row r="353" spans="1:77">
      <c r="A353" s="57"/>
      <c r="B353" s="12"/>
      <c r="C353" s="13"/>
      <c r="D353" s="13"/>
      <c r="E353" s="14"/>
      <c r="F353" s="13"/>
      <c r="G353" s="13"/>
      <c r="H353" s="13"/>
      <c r="I353" s="13"/>
      <c r="J353" s="13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13"/>
      <c r="BJ353" s="13"/>
      <c r="BK353" s="13"/>
      <c r="BL353" s="46"/>
      <c r="BM353" s="46"/>
      <c r="BN353" s="46"/>
      <c r="BO353" s="46"/>
      <c r="BP353" s="46"/>
      <c r="BQ353" s="46"/>
      <c r="BR353" s="34"/>
      <c r="BS353" s="34"/>
      <c r="BT353" s="34"/>
      <c r="BU353" s="34"/>
      <c r="BV353" s="34"/>
      <c r="BW353" s="34"/>
      <c r="BX353" s="34"/>
      <c r="BY353" s="4"/>
    </row>
    <row r="354" spans="1:77">
      <c r="A354" s="57"/>
      <c r="B354" s="13"/>
      <c r="C354" s="13"/>
      <c r="D354" s="13"/>
      <c r="E354" s="14"/>
      <c r="F354" s="13"/>
      <c r="G354" s="13"/>
      <c r="H354" s="13"/>
      <c r="I354" s="13"/>
      <c r="J354" s="13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13"/>
      <c r="BJ354" s="13"/>
      <c r="BK354" s="13"/>
      <c r="BL354" s="46"/>
      <c r="BM354" s="46"/>
      <c r="BN354" s="46"/>
      <c r="BO354" s="46"/>
      <c r="BP354" s="46"/>
      <c r="BQ354" s="46"/>
      <c r="BR354" s="34"/>
      <c r="BS354" s="34"/>
      <c r="BT354" s="34"/>
      <c r="BU354" s="34"/>
      <c r="BV354" s="34"/>
      <c r="BW354" s="34"/>
      <c r="BX354" s="34"/>
      <c r="BY354" s="4"/>
    </row>
    <row r="355" spans="1:77">
      <c r="A355" s="57"/>
      <c r="B355" s="13"/>
      <c r="C355" s="13"/>
      <c r="D355" s="13"/>
      <c r="E355" s="14"/>
      <c r="F355" s="13"/>
      <c r="G355" s="13"/>
      <c r="H355" s="13"/>
      <c r="I355" s="13"/>
      <c r="J355" s="13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13"/>
      <c r="BJ355" s="13"/>
      <c r="BK355" s="13"/>
      <c r="BL355" s="46"/>
      <c r="BM355" s="46"/>
      <c r="BN355" s="46"/>
      <c r="BO355" s="46"/>
      <c r="BP355" s="46"/>
      <c r="BQ355" s="46"/>
      <c r="BR355" s="34"/>
      <c r="BS355" s="34"/>
      <c r="BT355" s="34"/>
      <c r="BU355" s="34"/>
      <c r="BV355" s="34"/>
      <c r="BW355" s="34"/>
      <c r="BX355" s="34"/>
      <c r="BY355" s="4"/>
    </row>
    <row r="356" spans="1:77">
      <c r="A356" s="57"/>
      <c r="B356" s="12"/>
      <c r="C356" s="13"/>
      <c r="D356" s="13"/>
      <c r="E356" s="14"/>
      <c r="F356" s="13"/>
      <c r="G356" s="13"/>
      <c r="H356" s="13"/>
      <c r="I356" s="13"/>
      <c r="J356" s="13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13"/>
      <c r="BJ356" s="13"/>
      <c r="BK356" s="13"/>
      <c r="BL356" s="46"/>
      <c r="BM356" s="46"/>
      <c r="BN356" s="46"/>
      <c r="BO356" s="46"/>
      <c r="BP356" s="46"/>
      <c r="BQ356" s="46"/>
      <c r="BR356" s="34"/>
      <c r="BS356" s="34"/>
      <c r="BT356" s="34"/>
      <c r="BU356" s="34"/>
      <c r="BV356" s="34"/>
      <c r="BW356" s="34"/>
      <c r="BX356" s="34"/>
      <c r="BY356" s="4"/>
    </row>
    <row r="357" spans="1:77">
      <c r="A357" s="57"/>
      <c r="B357" s="12"/>
      <c r="C357" s="13"/>
      <c r="D357" s="13"/>
      <c r="E357" s="14"/>
      <c r="F357" s="13"/>
      <c r="G357" s="13"/>
      <c r="H357" s="13"/>
      <c r="I357" s="13"/>
      <c r="J357" s="13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13"/>
      <c r="BJ357" s="13"/>
      <c r="BK357" s="13"/>
      <c r="BL357" s="46"/>
      <c r="BM357" s="46"/>
      <c r="BN357" s="46"/>
      <c r="BO357" s="46"/>
      <c r="BP357" s="46"/>
      <c r="BQ357" s="46"/>
      <c r="BR357" s="34"/>
      <c r="BS357" s="34"/>
      <c r="BT357" s="34"/>
      <c r="BU357" s="34"/>
      <c r="BV357" s="34"/>
      <c r="BW357" s="34"/>
      <c r="BX357" s="34"/>
      <c r="BY357" s="4"/>
    </row>
    <row r="358" spans="1:77">
      <c r="A358" s="57"/>
      <c r="B358" s="13"/>
      <c r="C358" s="13"/>
      <c r="D358" s="13"/>
      <c r="E358" s="14"/>
      <c r="F358" s="13"/>
      <c r="G358" s="13"/>
      <c r="H358" s="13"/>
      <c r="I358" s="13"/>
      <c r="J358" s="13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13"/>
      <c r="BJ358" s="13"/>
      <c r="BK358" s="13"/>
      <c r="BL358" s="46"/>
      <c r="BM358" s="46"/>
      <c r="BN358" s="46"/>
      <c r="BO358" s="46"/>
      <c r="BP358" s="46"/>
      <c r="BQ358" s="46"/>
      <c r="BR358" s="34"/>
      <c r="BS358" s="34"/>
      <c r="BT358" s="34"/>
      <c r="BU358" s="34"/>
      <c r="BV358" s="34"/>
      <c r="BW358" s="34"/>
      <c r="BX358" s="34"/>
      <c r="BY358" s="4"/>
    </row>
    <row r="359" spans="1:77">
      <c r="A359" s="57"/>
      <c r="B359" s="13"/>
      <c r="C359" s="13"/>
      <c r="D359" s="13"/>
      <c r="E359" s="14"/>
      <c r="F359" s="13"/>
      <c r="G359" s="13"/>
      <c r="H359" s="13"/>
      <c r="I359" s="13"/>
      <c r="J359" s="13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13"/>
      <c r="BJ359" s="13"/>
      <c r="BK359" s="13"/>
      <c r="BL359" s="46"/>
      <c r="BM359" s="46"/>
      <c r="BN359" s="46"/>
      <c r="BO359" s="46"/>
      <c r="BP359" s="46"/>
      <c r="BQ359" s="46"/>
      <c r="BR359" s="34"/>
      <c r="BS359" s="34"/>
      <c r="BT359" s="34"/>
      <c r="BU359" s="34"/>
      <c r="BV359" s="34"/>
      <c r="BW359" s="34"/>
      <c r="BX359" s="34"/>
      <c r="BY359" s="4"/>
    </row>
    <row r="360" spans="1:77">
      <c r="A360" s="57"/>
      <c r="B360" s="13"/>
      <c r="C360" s="13"/>
      <c r="D360" s="13"/>
      <c r="E360" s="14"/>
      <c r="F360" s="13"/>
      <c r="G360" s="13"/>
      <c r="H360" s="13"/>
      <c r="I360" s="13"/>
      <c r="J360" s="13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13"/>
      <c r="BJ360" s="13"/>
      <c r="BK360" s="13"/>
      <c r="BL360" s="46"/>
      <c r="BM360" s="46"/>
      <c r="BN360" s="46"/>
      <c r="BO360" s="46"/>
      <c r="BP360" s="46"/>
      <c r="BQ360" s="46"/>
      <c r="BR360" s="34"/>
      <c r="BS360" s="34"/>
      <c r="BT360" s="34"/>
      <c r="BU360" s="34"/>
      <c r="BV360" s="34"/>
      <c r="BW360" s="34"/>
      <c r="BX360" s="34"/>
      <c r="BY360" s="4"/>
    </row>
    <row r="361" spans="1:77">
      <c r="A361" s="57"/>
      <c r="B361" s="13"/>
      <c r="C361" s="13"/>
      <c r="D361" s="13"/>
      <c r="E361" s="14"/>
      <c r="F361" s="13"/>
      <c r="G361" s="13"/>
      <c r="H361" s="13"/>
      <c r="I361" s="13"/>
      <c r="J361" s="13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13"/>
      <c r="BJ361" s="13"/>
      <c r="BK361" s="13"/>
      <c r="BL361" s="46"/>
      <c r="BM361" s="46"/>
      <c r="BN361" s="46"/>
      <c r="BO361" s="46"/>
      <c r="BP361" s="46"/>
      <c r="BQ361" s="46"/>
      <c r="BR361" s="34"/>
      <c r="BS361" s="34"/>
      <c r="BT361" s="34"/>
      <c r="BU361" s="34"/>
      <c r="BV361" s="34"/>
      <c r="BW361" s="34"/>
      <c r="BX361" s="34"/>
      <c r="BY361" s="4"/>
    </row>
    <row r="362" spans="1:77">
      <c r="A362" s="57"/>
      <c r="B362" s="15"/>
      <c r="C362" s="13"/>
      <c r="D362" s="13"/>
      <c r="E362" s="14"/>
      <c r="F362" s="13"/>
      <c r="G362" s="13"/>
      <c r="H362" s="13"/>
      <c r="I362" s="13"/>
      <c r="J362" s="13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13"/>
      <c r="BJ362" s="13"/>
      <c r="BK362" s="13"/>
      <c r="BL362" s="46"/>
      <c r="BM362" s="46"/>
      <c r="BN362" s="46"/>
      <c r="BO362" s="46"/>
      <c r="BP362" s="46"/>
      <c r="BQ362" s="46"/>
      <c r="BR362" s="34"/>
      <c r="BS362" s="34"/>
      <c r="BT362" s="34"/>
      <c r="BU362" s="34"/>
      <c r="BV362" s="34"/>
      <c r="BW362" s="34"/>
      <c r="BX362" s="34"/>
      <c r="BY362" s="4"/>
    </row>
    <row r="363" spans="1:77">
      <c r="A363" s="57"/>
      <c r="B363" s="13"/>
      <c r="C363" s="13"/>
      <c r="D363" s="13"/>
      <c r="E363" s="14"/>
      <c r="F363" s="13"/>
      <c r="G363" s="13"/>
      <c r="H363" s="13"/>
      <c r="I363" s="13"/>
      <c r="J363" s="13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13"/>
      <c r="BJ363" s="13"/>
      <c r="BK363" s="13"/>
      <c r="BL363" s="46"/>
      <c r="BM363" s="46"/>
      <c r="BN363" s="46"/>
      <c r="BO363" s="46"/>
      <c r="BP363" s="46"/>
      <c r="BQ363" s="46"/>
      <c r="BR363" s="34"/>
      <c r="BS363" s="34"/>
      <c r="BT363" s="34"/>
      <c r="BU363" s="34"/>
      <c r="BV363" s="34"/>
      <c r="BW363" s="34"/>
      <c r="BX363" s="34"/>
      <c r="BY363" s="4"/>
    </row>
    <row r="364" spans="1:77">
      <c r="A364" s="57"/>
      <c r="B364" s="13"/>
      <c r="C364" s="13"/>
      <c r="D364" s="13"/>
      <c r="E364" s="14"/>
      <c r="F364" s="13"/>
      <c r="G364" s="13"/>
      <c r="H364" s="13"/>
      <c r="I364" s="13"/>
      <c r="J364" s="13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13"/>
      <c r="BJ364" s="13"/>
      <c r="BK364" s="13"/>
      <c r="BL364" s="46"/>
      <c r="BM364" s="46"/>
      <c r="BN364" s="46"/>
      <c r="BO364" s="46"/>
      <c r="BP364" s="46"/>
      <c r="BQ364" s="46"/>
      <c r="BR364" s="34"/>
      <c r="BS364" s="34"/>
      <c r="BT364" s="34"/>
      <c r="BU364" s="34"/>
      <c r="BV364" s="34"/>
      <c r="BW364" s="34"/>
      <c r="BX364" s="34"/>
      <c r="BY364" s="4"/>
    </row>
    <row r="365" spans="1:77">
      <c r="A365" s="57"/>
      <c r="B365" s="13"/>
      <c r="C365" s="13"/>
      <c r="D365" s="13"/>
      <c r="E365" s="14"/>
      <c r="F365" s="13"/>
      <c r="G365" s="13"/>
      <c r="H365" s="13"/>
      <c r="I365" s="13"/>
      <c r="J365" s="13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13"/>
      <c r="BJ365" s="13"/>
      <c r="BK365" s="13"/>
      <c r="BL365" s="46"/>
      <c r="BM365" s="46"/>
      <c r="BN365" s="46"/>
      <c r="BO365" s="46"/>
      <c r="BP365" s="46"/>
      <c r="BQ365" s="46"/>
      <c r="BR365" s="34"/>
      <c r="BS365" s="34"/>
      <c r="BT365" s="34"/>
      <c r="BU365" s="34"/>
      <c r="BV365" s="34"/>
      <c r="BW365" s="34"/>
      <c r="BX365" s="34"/>
      <c r="BY365" s="4"/>
    </row>
    <row r="366" spans="1:77">
      <c r="A366" s="57"/>
      <c r="B366" s="13"/>
      <c r="C366" s="13"/>
      <c r="D366" s="13"/>
      <c r="E366" s="14"/>
      <c r="F366" s="13"/>
      <c r="G366" s="13"/>
      <c r="H366" s="13"/>
      <c r="I366" s="13"/>
      <c r="J366" s="13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13"/>
      <c r="BJ366" s="13"/>
      <c r="BK366" s="13"/>
      <c r="BL366" s="46"/>
      <c r="BM366" s="46"/>
      <c r="BN366" s="46"/>
      <c r="BO366" s="46"/>
      <c r="BP366" s="46"/>
      <c r="BQ366" s="46"/>
      <c r="BR366" s="34"/>
      <c r="BS366" s="34"/>
      <c r="BT366" s="34"/>
      <c r="BU366" s="34"/>
      <c r="BV366" s="34"/>
      <c r="BW366" s="34"/>
      <c r="BX366" s="34"/>
      <c r="BY366" s="4"/>
    </row>
    <row r="367" spans="1:77">
      <c r="A367" s="57"/>
      <c r="B367" s="13"/>
      <c r="C367" s="13"/>
      <c r="D367" s="13"/>
      <c r="E367" s="14"/>
      <c r="F367" s="13"/>
      <c r="G367" s="13"/>
      <c r="H367" s="13"/>
      <c r="I367" s="13"/>
      <c r="J367" s="13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13"/>
      <c r="BJ367" s="13"/>
      <c r="BK367" s="13"/>
      <c r="BL367" s="46"/>
      <c r="BM367" s="46"/>
      <c r="BN367" s="46"/>
      <c r="BO367" s="46"/>
      <c r="BP367" s="46"/>
      <c r="BQ367" s="46"/>
      <c r="BR367" s="34"/>
      <c r="BS367" s="34"/>
      <c r="BT367" s="34"/>
      <c r="BU367" s="34"/>
      <c r="BV367" s="34"/>
      <c r="BW367" s="34"/>
      <c r="BX367" s="34"/>
      <c r="BY367" s="4"/>
    </row>
    <row r="368" spans="1:77">
      <c r="A368" s="57"/>
      <c r="B368" s="13"/>
      <c r="C368" s="13"/>
      <c r="D368" s="13"/>
      <c r="E368" s="14"/>
      <c r="F368" s="13"/>
      <c r="G368" s="13"/>
      <c r="H368" s="13"/>
      <c r="I368" s="13"/>
      <c r="J368" s="13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13"/>
      <c r="BJ368" s="13"/>
      <c r="BK368" s="13"/>
      <c r="BL368" s="46"/>
      <c r="BM368" s="46"/>
      <c r="BN368" s="46"/>
      <c r="BO368" s="46"/>
      <c r="BP368" s="46"/>
      <c r="BQ368" s="46"/>
      <c r="BR368" s="34"/>
      <c r="BS368" s="34"/>
      <c r="BT368" s="34"/>
      <c r="BU368" s="34"/>
      <c r="BV368" s="34"/>
      <c r="BW368" s="34"/>
      <c r="BX368" s="34"/>
      <c r="BY368" s="4"/>
    </row>
    <row r="369" spans="1:77">
      <c r="A369" s="57"/>
      <c r="B369" s="13"/>
      <c r="C369" s="13"/>
      <c r="D369" s="13"/>
      <c r="E369" s="14"/>
      <c r="F369" s="13"/>
      <c r="G369" s="13"/>
      <c r="H369" s="13"/>
      <c r="I369" s="13"/>
      <c r="J369" s="13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13"/>
      <c r="BJ369" s="13"/>
      <c r="BK369" s="13"/>
      <c r="BL369" s="46"/>
      <c r="BM369" s="46"/>
      <c r="BN369" s="46"/>
      <c r="BO369" s="46"/>
      <c r="BP369" s="46"/>
      <c r="BQ369" s="46"/>
      <c r="BR369" s="34"/>
      <c r="BS369" s="34"/>
      <c r="BT369" s="34"/>
      <c r="BU369" s="34"/>
      <c r="BV369" s="34"/>
      <c r="BW369" s="34"/>
      <c r="BX369" s="34"/>
      <c r="BY369" s="4"/>
    </row>
    <row r="370" spans="1:77">
      <c r="A370" s="1" t="s">
        <v>76</v>
      </c>
      <c r="B370" s="13"/>
      <c r="C370" s="13"/>
      <c r="D370" s="13"/>
      <c r="E370" s="14">
        <f>SUM(E300:E369)</f>
        <v>0</v>
      </c>
      <c r="F370" s="13"/>
      <c r="G370" s="13">
        <f t="shared" ref="G370:N370" si="11">SUM(G300:G369)</f>
        <v>0</v>
      </c>
      <c r="H370" s="13">
        <f t="shared" si="11"/>
        <v>0</v>
      </c>
      <c r="I370" s="13">
        <f t="shared" si="11"/>
        <v>0</v>
      </c>
      <c r="J370" s="13">
        <f t="shared" si="11"/>
        <v>0</v>
      </c>
      <c r="K370" s="34">
        <f t="shared" si="11"/>
        <v>0</v>
      </c>
      <c r="L370" s="34">
        <f t="shared" si="11"/>
        <v>0</v>
      </c>
      <c r="M370" s="34">
        <f t="shared" si="11"/>
        <v>0</v>
      </c>
      <c r="N370" s="34">
        <f t="shared" si="11"/>
        <v>0</v>
      </c>
      <c r="O370" s="34"/>
      <c r="P370" s="34">
        <f t="shared" ref="P370:U370" si="12">SUM(P300:P369)</f>
        <v>0</v>
      </c>
      <c r="Q370" s="34">
        <f t="shared" si="12"/>
        <v>0</v>
      </c>
      <c r="R370" s="34">
        <f t="shared" si="12"/>
        <v>0</v>
      </c>
      <c r="S370" s="34">
        <f t="shared" si="12"/>
        <v>0</v>
      </c>
      <c r="T370" s="34">
        <f t="shared" si="12"/>
        <v>0</v>
      </c>
      <c r="U370" s="34">
        <f t="shared" si="12"/>
        <v>0</v>
      </c>
      <c r="V370" s="34"/>
      <c r="W370" s="34">
        <f t="shared" ref="W370:BB370" si="13">SUM(W300:W369)</f>
        <v>0</v>
      </c>
      <c r="X370" s="3">
        <f t="shared" si="13"/>
        <v>0</v>
      </c>
      <c r="Y370" s="39">
        <f t="shared" si="13"/>
        <v>0</v>
      </c>
      <c r="Z370" s="39">
        <f t="shared" si="13"/>
        <v>0</v>
      </c>
      <c r="AA370" s="39">
        <f t="shared" si="13"/>
        <v>0</v>
      </c>
      <c r="AB370" s="39">
        <f t="shared" si="13"/>
        <v>0</v>
      </c>
      <c r="AC370" s="39">
        <f t="shared" si="13"/>
        <v>0</v>
      </c>
      <c r="AD370" s="39">
        <f t="shared" si="13"/>
        <v>0</v>
      </c>
      <c r="AE370" s="39">
        <f t="shared" si="13"/>
        <v>0</v>
      </c>
      <c r="AF370" s="39">
        <f t="shared" si="13"/>
        <v>0</v>
      </c>
      <c r="AG370" s="39">
        <f t="shared" si="13"/>
        <v>0</v>
      </c>
      <c r="AH370" s="39">
        <f t="shared" si="13"/>
        <v>0</v>
      </c>
      <c r="AI370" s="39">
        <f t="shared" si="13"/>
        <v>0</v>
      </c>
      <c r="AJ370" s="39">
        <f t="shared" si="13"/>
        <v>0</v>
      </c>
      <c r="AK370" s="39">
        <f t="shared" si="13"/>
        <v>0</v>
      </c>
      <c r="AL370" s="39">
        <f t="shared" si="13"/>
        <v>0</v>
      </c>
      <c r="AM370" s="28">
        <f t="shared" si="13"/>
        <v>0</v>
      </c>
      <c r="AN370" s="28">
        <f t="shared" si="13"/>
        <v>0</v>
      </c>
      <c r="AO370" s="28">
        <f t="shared" si="13"/>
        <v>0</v>
      </c>
      <c r="AP370" s="28">
        <f t="shared" si="13"/>
        <v>0</v>
      </c>
      <c r="AQ370" s="28">
        <f t="shared" si="13"/>
        <v>0</v>
      </c>
      <c r="AR370" s="28">
        <f t="shared" si="13"/>
        <v>0</v>
      </c>
      <c r="AS370" s="28">
        <f t="shared" si="13"/>
        <v>0</v>
      </c>
      <c r="AT370" s="28">
        <f t="shared" si="13"/>
        <v>0</v>
      </c>
      <c r="AU370" s="28">
        <f t="shared" si="13"/>
        <v>0</v>
      </c>
      <c r="AV370" s="28">
        <f t="shared" si="13"/>
        <v>0</v>
      </c>
      <c r="AW370" s="28">
        <f t="shared" si="13"/>
        <v>0</v>
      </c>
      <c r="AX370" s="43">
        <f t="shared" si="13"/>
        <v>0</v>
      </c>
      <c r="AY370" s="43">
        <f t="shared" si="13"/>
        <v>0</v>
      </c>
      <c r="AZ370" s="43">
        <f t="shared" si="13"/>
        <v>0</v>
      </c>
      <c r="BA370" s="43">
        <f t="shared" si="13"/>
        <v>0</v>
      </c>
      <c r="BB370" s="43">
        <f t="shared" si="13"/>
        <v>0</v>
      </c>
      <c r="BC370" s="43">
        <f t="shared" ref="BC370:BW370" si="14">SUM(BC300:BC369)</f>
        <v>0</v>
      </c>
      <c r="BD370" s="43">
        <f t="shared" si="14"/>
        <v>0</v>
      </c>
      <c r="BE370" s="43">
        <f t="shared" si="14"/>
        <v>0</v>
      </c>
      <c r="BF370" s="43">
        <f t="shared" si="14"/>
        <v>0</v>
      </c>
      <c r="BG370" s="43">
        <f t="shared" si="14"/>
        <v>0</v>
      </c>
      <c r="BH370" s="43">
        <f t="shared" si="14"/>
        <v>0</v>
      </c>
      <c r="BI370" s="13">
        <f t="shared" si="14"/>
        <v>0</v>
      </c>
      <c r="BJ370" s="13">
        <f t="shared" si="14"/>
        <v>0</v>
      </c>
      <c r="BK370" s="13">
        <f t="shared" si="14"/>
        <v>0</v>
      </c>
      <c r="BL370" s="46">
        <f t="shared" si="14"/>
        <v>0</v>
      </c>
      <c r="BM370" s="46">
        <f t="shared" si="14"/>
        <v>0</v>
      </c>
      <c r="BN370" s="46">
        <f t="shared" si="14"/>
        <v>0</v>
      </c>
      <c r="BO370" s="46">
        <f t="shared" si="14"/>
        <v>0</v>
      </c>
      <c r="BP370" s="46">
        <f t="shared" si="14"/>
        <v>0</v>
      </c>
      <c r="BQ370" s="46">
        <f t="shared" si="14"/>
        <v>0</v>
      </c>
      <c r="BR370" s="34">
        <f t="shared" si="14"/>
        <v>0</v>
      </c>
      <c r="BS370" s="34">
        <f t="shared" si="14"/>
        <v>0</v>
      </c>
      <c r="BT370" s="34">
        <f t="shared" si="14"/>
        <v>0</v>
      </c>
      <c r="BU370" s="34">
        <f t="shared" si="14"/>
        <v>0</v>
      </c>
      <c r="BV370" s="34">
        <f t="shared" si="14"/>
        <v>0</v>
      </c>
      <c r="BW370" s="34">
        <f t="shared" si="14"/>
        <v>0</v>
      </c>
      <c r="BX370" s="34"/>
      <c r="BY370" s="4"/>
    </row>
    <row r="371" spans="1:77">
      <c r="B371" s="18"/>
      <c r="C371" s="18"/>
      <c r="D371" s="18"/>
      <c r="E371" s="18"/>
      <c r="F371" s="18"/>
      <c r="G371" s="18"/>
      <c r="H371" s="18"/>
      <c r="I371" s="18"/>
      <c r="J371" s="18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18"/>
      <c r="BJ371" s="18"/>
      <c r="BK371" s="18"/>
      <c r="BL371" s="47"/>
      <c r="BM371" s="47"/>
      <c r="BN371" s="47"/>
      <c r="BO371" s="47"/>
      <c r="BP371" s="47"/>
      <c r="BQ371" s="47"/>
      <c r="BR371" s="35"/>
      <c r="BS371" s="35"/>
      <c r="BT371" s="35"/>
      <c r="BU371" s="35"/>
      <c r="BV371" s="35"/>
      <c r="BW371" s="35"/>
      <c r="BX371" s="35"/>
    </row>
    <row r="372" spans="1:77" ht="159.6">
      <c r="A372" s="2" t="s">
        <v>77</v>
      </c>
      <c r="B372" s="11" t="s">
        <v>1</v>
      </c>
      <c r="C372" s="11" t="s">
        <v>2</v>
      </c>
      <c r="D372" s="11" t="s">
        <v>3</v>
      </c>
      <c r="E372" s="11" t="s">
        <v>4</v>
      </c>
      <c r="F372" s="11" t="s">
        <v>5</v>
      </c>
      <c r="G372" s="11" t="s">
        <v>6</v>
      </c>
      <c r="H372" s="11" t="s">
        <v>7</v>
      </c>
      <c r="I372" s="11" t="s">
        <v>8</v>
      </c>
      <c r="J372" s="11" t="s">
        <v>89</v>
      </c>
      <c r="K372" s="33" t="s">
        <v>10</v>
      </c>
      <c r="L372" s="33" t="s">
        <v>11</v>
      </c>
      <c r="M372" s="33" t="s">
        <v>12</v>
      </c>
      <c r="N372" s="33" t="s">
        <v>13</v>
      </c>
      <c r="O372" s="33" t="s">
        <v>14</v>
      </c>
      <c r="P372" s="33" t="s">
        <v>15</v>
      </c>
      <c r="Q372" s="33" t="s">
        <v>16</v>
      </c>
      <c r="R372" s="33" t="s">
        <v>17</v>
      </c>
      <c r="S372" s="33" t="s">
        <v>18</v>
      </c>
      <c r="T372" s="33" t="s">
        <v>79</v>
      </c>
      <c r="U372" s="33" t="s">
        <v>20</v>
      </c>
      <c r="V372" s="33"/>
      <c r="W372" s="33"/>
      <c r="X372" s="9"/>
      <c r="Y372" s="38" t="s">
        <v>24</v>
      </c>
      <c r="Z372" s="38" t="s">
        <v>25</v>
      </c>
      <c r="AA372" s="38" t="s">
        <v>26</v>
      </c>
      <c r="AB372" s="38" t="s">
        <v>90</v>
      </c>
      <c r="AC372" s="38" t="s">
        <v>28</v>
      </c>
      <c r="AD372" s="38" t="s">
        <v>29</v>
      </c>
      <c r="AE372" s="38" t="s">
        <v>30</v>
      </c>
      <c r="AF372" s="38" t="s">
        <v>31</v>
      </c>
      <c r="AG372" s="38" t="s">
        <v>32</v>
      </c>
      <c r="AH372" s="38" t="s">
        <v>33</v>
      </c>
      <c r="AI372" s="38" t="s">
        <v>34</v>
      </c>
      <c r="AJ372" s="38" t="s">
        <v>35</v>
      </c>
      <c r="AK372" s="38" t="s">
        <v>36</v>
      </c>
      <c r="AL372" s="38" t="s">
        <v>37</v>
      </c>
      <c r="AM372" s="27" t="s">
        <v>38</v>
      </c>
      <c r="AN372" s="27" t="s">
        <v>39</v>
      </c>
      <c r="AO372" s="27" t="s">
        <v>40</v>
      </c>
      <c r="AP372" s="27" t="s">
        <v>41</v>
      </c>
      <c r="AQ372" s="27" t="s">
        <v>42</v>
      </c>
      <c r="AR372" s="27" t="s">
        <v>43</v>
      </c>
      <c r="AS372" s="27" t="s">
        <v>44</v>
      </c>
      <c r="AT372" s="27" t="s">
        <v>45</v>
      </c>
      <c r="AU372" s="27" t="s">
        <v>46</v>
      </c>
      <c r="AV372" s="27" t="s">
        <v>47</v>
      </c>
      <c r="AW372" s="27" t="s">
        <v>37</v>
      </c>
      <c r="AX372" s="42" t="s">
        <v>48</v>
      </c>
      <c r="AY372" s="42" t="s">
        <v>49</v>
      </c>
      <c r="AZ372" s="42" t="s">
        <v>50</v>
      </c>
      <c r="BA372" s="42" t="s">
        <v>51</v>
      </c>
      <c r="BB372" s="42" t="s">
        <v>52</v>
      </c>
      <c r="BC372" s="42" t="s">
        <v>53</v>
      </c>
      <c r="BD372" s="42" t="s">
        <v>54</v>
      </c>
      <c r="BE372" s="42" t="s">
        <v>55</v>
      </c>
      <c r="BF372" s="42" t="s">
        <v>56</v>
      </c>
      <c r="BG372" s="42" t="s">
        <v>57</v>
      </c>
      <c r="BH372" s="42" t="s">
        <v>58</v>
      </c>
      <c r="BI372" s="11" t="s">
        <v>28</v>
      </c>
      <c r="BJ372" s="11" t="s">
        <v>59</v>
      </c>
      <c r="BK372" s="11" t="s">
        <v>60</v>
      </c>
      <c r="BL372" s="32" t="s">
        <v>61</v>
      </c>
      <c r="BM372" s="32" t="s">
        <v>62</v>
      </c>
      <c r="BN372" s="32" t="s">
        <v>63</v>
      </c>
      <c r="BO372" s="32" t="s">
        <v>64</v>
      </c>
      <c r="BP372" s="32" t="s">
        <v>65</v>
      </c>
      <c r="BQ372" s="32" t="s">
        <v>66</v>
      </c>
      <c r="BR372" s="33" t="s">
        <v>67</v>
      </c>
      <c r="BS372" s="33" t="s">
        <v>68</v>
      </c>
      <c r="BT372" s="33" t="s">
        <v>69</v>
      </c>
      <c r="BU372" s="33" t="s">
        <v>70</v>
      </c>
      <c r="BV372" s="33" t="s">
        <v>71</v>
      </c>
      <c r="BW372" s="33" t="s">
        <v>82</v>
      </c>
      <c r="BX372" s="33" t="s">
        <v>73</v>
      </c>
      <c r="BY372" s="10" t="s">
        <v>74</v>
      </c>
    </row>
    <row r="373" spans="1:77">
      <c r="A373" s="57" t="s">
        <v>91</v>
      </c>
      <c r="B373" s="12"/>
      <c r="C373" s="13"/>
      <c r="D373" s="13"/>
      <c r="E373" s="14"/>
      <c r="F373" s="13"/>
      <c r="G373" s="13"/>
      <c r="H373" s="13"/>
      <c r="I373" s="13"/>
      <c r="J373" s="13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13"/>
      <c r="BJ373" s="13"/>
      <c r="BK373" s="13"/>
      <c r="BL373" s="46"/>
      <c r="BM373" s="46"/>
      <c r="BN373" s="46"/>
      <c r="BO373" s="46"/>
      <c r="BP373" s="46"/>
      <c r="BQ373" s="46"/>
      <c r="BR373" s="34"/>
      <c r="BS373" s="34"/>
      <c r="BT373" s="34"/>
      <c r="BU373" s="34"/>
      <c r="BV373" s="34"/>
      <c r="BW373" s="34"/>
      <c r="BX373" s="34"/>
      <c r="BY373" s="4"/>
    </row>
    <row r="374" spans="1:77">
      <c r="A374" s="57"/>
      <c r="B374" s="12"/>
      <c r="C374" s="13"/>
      <c r="D374" s="13"/>
      <c r="E374" s="14"/>
      <c r="F374" s="13"/>
      <c r="G374" s="13"/>
      <c r="H374" s="13"/>
      <c r="I374" s="13"/>
      <c r="J374" s="13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13"/>
      <c r="BJ374" s="13"/>
      <c r="BK374" s="13"/>
      <c r="BL374" s="46"/>
      <c r="BM374" s="46"/>
      <c r="BN374" s="46"/>
      <c r="BO374" s="46"/>
      <c r="BP374" s="46"/>
      <c r="BQ374" s="46"/>
      <c r="BR374" s="34"/>
      <c r="BS374" s="34"/>
      <c r="BT374" s="34"/>
      <c r="BU374" s="34"/>
      <c r="BV374" s="34"/>
      <c r="BW374" s="34"/>
      <c r="BX374" s="34"/>
      <c r="BY374" s="4"/>
    </row>
    <row r="375" spans="1:77">
      <c r="A375" s="57"/>
      <c r="B375" s="12"/>
      <c r="C375" s="13"/>
      <c r="D375" s="13"/>
      <c r="E375" s="14"/>
      <c r="F375" s="13"/>
      <c r="G375" s="13"/>
      <c r="H375" s="13"/>
      <c r="I375" s="13"/>
      <c r="J375" s="13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13"/>
      <c r="BJ375" s="13"/>
      <c r="BK375" s="13"/>
      <c r="BL375" s="46"/>
      <c r="BM375" s="46"/>
      <c r="BN375" s="46"/>
      <c r="BO375" s="46"/>
      <c r="BP375" s="46"/>
      <c r="BQ375" s="46"/>
      <c r="BR375" s="34"/>
      <c r="BS375" s="34"/>
      <c r="BT375" s="34"/>
      <c r="BU375" s="34"/>
      <c r="BV375" s="34"/>
      <c r="BW375" s="34"/>
      <c r="BX375" s="34"/>
      <c r="BY375" s="4"/>
    </row>
    <row r="376" spans="1:77">
      <c r="A376" s="57"/>
      <c r="B376" s="12"/>
      <c r="C376" s="13"/>
      <c r="D376" s="13"/>
      <c r="E376" s="14"/>
      <c r="F376" s="13"/>
      <c r="G376" s="13"/>
      <c r="H376" s="13"/>
      <c r="I376" s="13"/>
      <c r="J376" s="13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13"/>
      <c r="BJ376" s="13"/>
      <c r="BK376" s="13"/>
      <c r="BL376" s="46"/>
      <c r="BM376" s="46"/>
      <c r="BN376" s="46"/>
      <c r="BO376" s="46"/>
      <c r="BP376" s="46"/>
      <c r="BQ376" s="46"/>
      <c r="BR376" s="34"/>
      <c r="BS376" s="34"/>
      <c r="BT376" s="34"/>
      <c r="BU376" s="34"/>
      <c r="BV376" s="34"/>
      <c r="BW376" s="34"/>
      <c r="BX376" s="34"/>
      <c r="BY376" s="4"/>
    </row>
    <row r="377" spans="1:77">
      <c r="A377" s="57"/>
      <c r="B377" s="12"/>
      <c r="C377" s="13"/>
      <c r="D377" s="13"/>
      <c r="E377" s="14"/>
      <c r="F377" s="13"/>
      <c r="G377" s="13"/>
      <c r="H377" s="13"/>
      <c r="I377" s="13"/>
      <c r="J377" s="13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13"/>
      <c r="BJ377" s="13"/>
      <c r="BK377" s="13"/>
      <c r="BL377" s="46"/>
      <c r="BM377" s="46"/>
      <c r="BN377" s="46"/>
      <c r="BO377" s="46"/>
      <c r="BP377" s="46"/>
      <c r="BQ377" s="46"/>
      <c r="BR377" s="34"/>
      <c r="BS377" s="34"/>
      <c r="BT377" s="34"/>
      <c r="BU377" s="34"/>
      <c r="BV377" s="34"/>
      <c r="BW377" s="34"/>
      <c r="BX377" s="34"/>
      <c r="BY377" s="4"/>
    </row>
    <row r="378" spans="1:77">
      <c r="A378" s="57"/>
      <c r="B378" s="12"/>
      <c r="C378" s="13"/>
      <c r="D378" s="13"/>
      <c r="E378" s="14"/>
      <c r="F378" s="13"/>
      <c r="G378" s="13"/>
      <c r="H378" s="13"/>
      <c r="I378" s="13"/>
      <c r="J378" s="13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13"/>
      <c r="BJ378" s="13"/>
      <c r="BK378" s="13"/>
      <c r="BL378" s="46"/>
      <c r="BM378" s="46"/>
      <c r="BN378" s="46"/>
      <c r="BO378" s="46"/>
      <c r="BP378" s="46"/>
      <c r="BQ378" s="46"/>
      <c r="BR378" s="34"/>
      <c r="BS378" s="34"/>
      <c r="BT378" s="34"/>
      <c r="BU378" s="34"/>
      <c r="BV378" s="34"/>
      <c r="BW378" s="34"/>
      <c r="BX378" s="34"/>
      <c r="BY378" s="4"/>
    </row>
    <row r="379" spans="1:77">
      <c r="A379" s="57"/>
      <c r="B379" s="12"/>
      <c r="C379" s="13"/>
      <c r="D379" s="13"/>
      <c r="E379" s="14"/>
      <c r="F379" s="13"/>
      <c r="G379" s="13"/>
      <c r="H379" s="13"/>
      <c r="I379" s="13"/>
      <c r="J379" s="13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13"/>
      <c r="BJ379" s="13"/>
      <c r="BK379" s="13"/>
      <c r="BL379" s="46"/>
      <c r="BM379" s="46"/>
      <c r="BN379" s="46"/>
      <c r="BO379" s="46"/>
      <c r="BP379" s="46"/>
      <c r="BQ379" s="46"/>
      <c r="BR379" s="34"/>
      <c r="BS379" s="34"/>
      <c r="BT379" s="34"/>
      <c r="BU379" s="34"/>
      <c r="BV379" s="34"/>
      <c r="BW379" s="34"/>
      <c r="BX379" s="34"/>
      <c r="BY379" s="4"/>
    </row>
    <row r="380" spans="1:77">
      <c r="A380" s="57"/>
      <c r="B380" s="12"/>
      <c r="C380" s="13"/>
      <c r="D380" s="13"/>
      <c r="E380" s="14"/>
      <c r="F380" s="13"/>
      <c r="G380" s="13"/>
      <c r="H380" s="13"/>
      <c r="I380" s="13"/>
      <c r="J380" s="13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13"/>
      <c r="BJ380" s="13"/>
      <c r="BK380" s="13"/>
      <c r="BL380" s="46"/>
      <c r="BM380" s="46"/>
      <c r="BN380" s="46"/>
      <c r="BO380" s="46"/>
      <c r="BP380" s="46"/>
      <c r="BQ380" s="46"/>
      <c r="BR380" s="34"/>
      <c r="BS380" s="34"/>
      <c r="BT380" s="34"/>
      <c r="BU380" s="34"/>
      <c r="BV380" s="34"/>
      <c r="BW380" s="34"/>
      <c r="BX380" s="34"/>
      <c r="BY380" s="4"/>
    </row>
    <row r="381" spans="1:77">
      <c r="A381" s="57"/>
      <c r="B381" s="12"/>
      <c r="C381" s="13"/>
      <c r="D381" s="13"/>
      <c r="E381" s="14"/>
      <c r="F381" s="13"/>
      <c r="G381" s="13"/>
      <c r="H381" s="13"/>
      <c r="I381" s="13"/>
      <c r="J381" s="13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13"/>
      <c r="BJ381" s="13"/>
      <c r="BK381" s="13"/>
      <c r="BL381" s="46"/>
      <c r="BM381" s="46"/>
      <c r="BN381" s="46"/>
      <c r="BO381" s="46"/>
      <c r="BP381" s="46"/>
      <c r="BQ381" s="46"/>
      <c r="BR381" s="34"/>
      <c r="BS381" s="34"/>
      <c r="BT381" s="34"/>
      <c r="BU381" s="34"/>
      <c r="BV381" s="34"/>
      <c r="BW381" s="34"/>
      <c r="BX381" s="34"/>
      <c r="BY381" s="4"/>
    </row>
    <row r="382" spans="1:77">
      <c r="A382" s="57"/>
      <c r="B382" s="12"/>
      <c r="C382" s="13"/>
      <c r="D382" s="13"/>
      <c r="E382" s="14"/>
      <c r="F382" s="13"/>
      <c r="G382" s="13"/>
      <c r="H382" s="13"/>
      <c r="I382" s="13"/>
      <c r="J382" s="13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13"/>
      <c r="BJ382" s="13"/>
      <c r="BK382" s="13"/>
      <c r="BL382" s="46"/>
      <c r="BM382" s="46"/>
      <c r="BN382" s="46"/>
      <c r="BO382" s="46"/>
      <c r="BP382" s="46"/>
      <c r="BQ382" s="46"/>
      <c r="BR382" s="34"/>
      <c r="BS382" s="34"/>
      <c r="BT382" s="34"/>
      <c r="BU382" s="34"/>
      <c r="BV382" s="34"/>
      <c r="BW382" s="34"/>
      <c r="BX382" s="34"/>
      <c r="BY382" s="4"/>
    </row>
    <row r="383" spans="1:77">
      <c r="A383" s="57"/>
      <c r="B383" s="12"/>
      <c r="C383" s="13"/>
      <c r="D383" s="13"/>
      <c r="E383" s="14"/>
      <c r="F383" s="13"/>
      <c r="G383" s="13"/>
      <c r="H383" s="13"/>
      <c r="I383" s="13"/>
      <c r="J383" s="13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13"/>
      <c r="BJ383" s="13"/>
      <c r="BK383" s="13"/>
      <c r="BL383" s="46"/>
      <c r="BM383" s="46"/>
      <c r="BN383" s="46"/>
      <c r="BO383" s="46"/>
      <c r="BP383" s="46"/>
      <c r="BQ383" s="46"/>
      <c r="BR383" s="34"/>
      <c r="BS383" s="34"/>
      <c r="BT383" s="34"/>
      <c r="BU383" s="34"/>
      <c r="BV383" s="34"/>
      <c r="BW383" s="34"/>
      <c r="BX383" s="34"/>
      <c r="BY383" s="4"/>
    </row>
    <row r="384" spans="1:77">
      <c r="A384" s="57"/>
      <c r="B384" s="12"/>
      <c r="C384" s="13"/>
      <c r="D384" s="13"/>
      <c r="E384" s="14"/>
      <c r="F384" s="13"/>
      <c r="G384" s="13"/>
      <c r="H384" s="13"/>
      <c r="I384" s="13"/>
      <c r="J384" s="13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13"/>
      <c r="BJ384" s="13"/>
      <c r="BK384" s="13"/>
      <c r="BL384" s="46"/>
      <c r="BM384" s="46"/>
      <c r="BN384" s="46"/>
      <c r="BO384" s="46"/>
      <c r="BP384" s="46"/>
      <c r="BQ384" s="46"/>
      <c r="BR384" s="34"/>
      <c r="BS384" s="34"/>
      <c r="BT384" s="34"/>
      <c r="BU384" s="34"/>
      <c r="BV384" s="34"/>
      <c r="BW384" s="34"/>
      <c r="BX384" s="34"/>
      <c r="BY384" s="4"/>
    </row>
    <row r="385" spans="1:77">
      <c r="A385" s="57"/>
      <c r="B385" s="12"/>
      <c r="C385" s="13"/>
      <c r="D385" s="13"/>
      <c r="E385" s="14"/>
      <c r="F385" s="13"/>
      <c r="G385" s="13"/>
      <c r="H385" s="13"/>
      <c r="I385" s="13"/>
      <c r="J385" s="13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13"/>
      <c r="BJ385" s="13"/>
      <c r="BK385" s="13"/>
      <c r="BL385" s="46"/>
      <c r="BM385" s="46"/>
      <c r="BN385" s="46"/>
      <c r="BO385" s="46"/>
      <c r="BP385" s="46"/>
      <c r="BQ385" s="46"/>
      <c r="BR385" s="34"/>
      <c r="BS385" s="34"/>
      <c r="BT385" s="34"/>
      <c r="BU385" s="34"/>
      <c r="BV385" s="34"/>
      <c r="BW385" s="34"/>
      <c r="BX385" s="34"/>
      <c r="BY385" s="4"/>
    </row>
    <row r="386" spans="1:77">
      <c r="A386" s="57"/>
      <c r="B386" s="12"/>
      <c r="C386" s="13"/>
      <c r="D386" s="13"/>
      <c r="E386" s="14"/>
      <c r="F386" s="13"/>
      <c r="G386" s="13"/>
      <c r="H386" s="13"/>
      <c r="I386" s="13"/>
      <c r="J386" s="13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13"/>
      <c r="BJ386" s="13"/>
      <c r="BK386" s="13"/>
      <c r="BL386" s="46"/>
      <c r="BM386" s="46"/>
      <c r="BN386" s="46"/>
      <c r="BO386" s="46"/>
      <c r="BP386" s="46"/>
      <c r="BQ386" s="46"/>
      <c r="BR386" s="34"/>
      <c r="BS386" s="34"/>
      <c r="BT386" s="34"/>
      <c r="BU386" s="34"/>
      <c r="BV386" s="34"/>
      <c r="BW386" s="34"/>
      <c r="BX386" s="34"/>
      <c r="BY386" s="4"/>
    </row>
    <row r="387" spans="1:77">
      <c r="A387" s="57"/>
      <c r="B387" s="12"/>
      <c r="C387" s="13"/>
      <c r="D387" s="13"/>
      <c r="E387" s="14"/>
      <c r="F387" s="13"/>
      <c r="G387" s="13"/>
      <c r="H387" s="13"/>
      <c r="I387" s="13"/>
      <c r="J387" s="13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13"/>
      <c r="BJ387" s="13"/>
      <c r="BK387" s="13"/>
      <c r="BL387" s="46"/>
      <c r="BM387" s="46"/>
      <c r="BN387" s="46"/>
      <c r="BO387" s="46"/>
      <c r="BP387" s="46"/>
      <c r="BQ387" s="46"/>
      <c r="BR387" s="34"/>
      <c r="BS387" s="34"/>
      <c r="BT387" s="34"/>
      <c r="BU387" s="34"/>
      <c r="BV387" s="34"/>
      <c r="BW387" s="34"/>
      <c r="BX387" s="34"/>
      <c r="BY387" s="4"/>
    </row>
    <row r="388" spans="1:77">
      <c r="A388" s="57"/>
      <c r="B388" s="12"/>
      <c r="C388" s="13"/>
      <c r="D388" s="13"/>
      <c r="E388" s="14"/>
      <c r="F388" s="13"/>
      <c r="G388" s="13"/>
      <c r="H388" s="13"/>
      <c r="I388" s="13"/>
      <c r="J388" s="13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13"/>
      <c r="BJ388" s="13"/>
      <c r="BK388" s="13"/>
      <c r="BL388" s="46"/>
      <c r="BM388" s="46"/>
      <c r="BN388" s="46"/>
      <c r="BO388" s="46"/>
      <c r="BP388" s="46"/>
      <c r="BQ388" s="46"/>
      <c r="BR388" s="34"/>
      <c r="BS388" s="34"/>
      <c r="BT388" s="34"/>
      <c r="BU388" s="34"/>
      <c r="BV388" s="34"/>
      <c r="BW388" s="34"/>
      <c r="BX388" s="34"/>
      <c r="BY388" s="4"/>
    </row>
    <row r="389" spans="1:77">
      <c r="A389" s="57"/>
      <c r="B389" s="12"/>
      <c r="C389" s="13"/>
      <c r="D389" s="13"/>
      <c r="E389" s="14"/>
      <c r="F389" s="13"/>
      <c r="G389" s="13"/>
      <c r="H389" s="13"/>
      <c r="I389" s="13"/>
      <c r="J389" s="13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13"/>
      <c r="BJ389" s="13"/>
      <c r="BK389" s="13"/>
      <c r="BL389" s="46"/>
      <c r="BM389" s="46"/>
      <c r="BN389" s="46"/>
      <c r="BO389" s="46"/>
      <c r="BP389" s="46"/>
      <c r="BQ389" s="46"/>
      <c r="BR389" s="34"/>
      <c r="BS389" s="34"/>
      <c r="BT389" s="34"/>
      <c r="BU389" s="34"/>
      <c r="BV389" s="34"/>
      <c r="BW389" s="34"/>
      <c r="BX389" s="34"/>
      <c r="BY389" s="4"/>
    </row>
    <row r="390" spans="1:77">
      <c r="A390" s="57"/>
      <c r="B390" s="12"/>
      <c r="C390" s="13"/>
      <c r="D390" s="13"/>
      <c r="E390" s="14"/>
      <c r="F390" s="13"/>
      <c r="G390" s="13"/>
      <c r="H390" s="13"/>
      <c r="I390" s="13"/>
      <c r="J390" s="13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13"/>
      <c r="BJ390" s="13"/>
      <c r="BK390" s="13"/>
      <c r="BL390" s="46"/>
      <c r="BM390" s="46"/>
      <c r="BN390" s="46"/>
      <c r="BO390" s="46"/>
      <c r="BP390" s="46"/>
      <c r="BQ390" s="46"/>
      <c r="BR390" s="34"/>
      <c r="BS390" s="34"/>
      <c r="BT390" s="34"/>
      <c r="BU390" s="34"/>
      <c r="BV390" s="34"/>
      <c r="BW390" s="34"/>
      <c r="BX390" s="34"/>
      <c r="BY390" s="4"/>
    </row>
    <row r="391" spans="1:77">
      <c r="A391" s="57"/>
      <c r="B391" s="12"/>
      <c r="C391" s="13"/>
      <c r="D391" s="13"/>
      <c r="E391" s="14"/>
      <c r="F391" s="13"/>
      <c r="G391" s="13"/>
      <c r="H391" s="13"/>
      <c r="I391" s="13"/>
      <c r="J391" s="13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13"/>
      <c r="BJ391" s="13"/>
      <c r="BK391" s="13"/>
      <c r="BL391" s="46"/>
      <c r="BM391" s="46"/>
      <c r="BN391" s="46"/>
      <c r="BO391" s="46"/>
      <c r="BP391" s="46"/>
      <c r="BQ391" s="46"/>
      <c r="BR391" s="34"/>
      <c r="BS391" s="34"/>
      <c r="BT391" s="34"/>
      <c r="BU391" s="34"/>
      <c r="BV391" s="34"/>
      <c r="BW391" s="34"/>
      <c r="BX391" s="34"/>
      <c r="BY391" s="4"/>
    </row>
    <row r="392" spans="1:77">
      <c r="A392" s="57"/>
      <c r="B392" s="13"/>
      <c r="C392" s="13"/>
      <c r="D392" s="13"/>
      <c r="E392" s="14"/>
      <c r="F392" s="13"/>
      <c r="G392" s="13"/>
      <c r="H392" s="13"/>
      <c r="I392" s="13"/>
      <c r="J392" s="13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13"/>
      <c r="BJ392" s="13"/>
      <c r="BK392" s="13"/>
      <c r="BL392" s="46"/>
      <c r="BM392" s="46"/>
      <c r="BN392" s="46"/>
      <c r="BO392" s="46"/>
      <c r="BP392" s="46"/>
      <c r="BQ392" s="46"/>
      <c r="BR392" s="34"/>
      <c r="BS392" s="34"/>
      <c r="BT392" s="34"/>
      <c r="BU392" s="34"/>
      <c r="BV392" s="34"/>
      <c r="BW392" s="34"/>
      <c r="BX392" s="34"/>
      <c r="BY392" s="4"/>
    </row>
    <row r="393" spans="1:77">
      <c r="A393" s="57"/>
      <c r="B393" s="13"/>
      <c r="C393" s="13"/>
      <c r="D393" s="13"/>
      <c r="E393" s="14"/>
      <c r="F393" s="13"/>
      <c r="G393" s="13"/>
      <c r="H393" s="13"/>
      <c r="I393" s="13"/>
      <c r="J393" s="13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13"/>
      <c r="BJ393" s="13"/>
      <c r="BK393" s="13"/>
      <c r="BL393" s="46"/>
      <c r="BM393" s="46"/>
      <c r="BN393" s="46"/>
      <c r="BO393" s="46"/>
      <c r="BP393" s="46"/>
      <c r="BQ393" s="46"/>
      <c r="BR393" s="34"/>
      <c r="BS393" s="34"/>
      <c r="BT393" s="34"/>
      <c r="BU393" s="34"/>
      <c r="BV393" s="34"/>
      <c r="BW393" s="34"/>
      <c r="BX393" s="34"/>
      <c r="BY393" s="4"/>
    </row>
    <row r="394" spans="1:77">
      <c r="A394" s="57"/>
      <c r="B394" s="13"/>
      <c r="C394" s="13"/>
      <c r="D394" s="13"/>
      <c r="E394" s="14"/>
      <c r="F394" s="13"/>
      <c r="G394" s="13"/>
      <c r="H394" s="13"/>
      <c r="I394" s="13"/>
      <c r="J394" s="13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13"/>
      <c r="BJ394" s="13"/>
      <c r="BK394" s="13"/>
      <c r="BL394" s="46"/>
      <c r="BM394" s="46"/>
      <c r="BN394" s="46"/>
      <c r="BO394" s="46"/>
      <c r="BP394" s="46"/>
      <c r="BQ394" s="46"/>
      <c r="BR394" s="34"/>
      <c r="BS394" s="34"/>
      <c r="BT394" s="34"/>
      <c r="BU394" s="34"/>
      <c r="BV394" s="34"/>
      <c r="BW394" s="34"/>
      <c r="BX394" s="34"/>
      <c r="BY394" s="4"/>
    </row>
    <row r="395" spans="1:77">
      <c r="A395" s="57"/>
      <c r="B395" s="12"/>
      <c r="C395" s="13"/>
      <c r="D395" s="13"/>
      <c r="E395" s="14"/>
      <c r="F395" s="13"/>
      <c r="G395" s="13"/>
      <c r="H395" s="13"/>
      <c r="I395" s="13"/>
      <c r="J395" s="13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13"/>
      <c r="BJ395" s="13"/>
      <c r="BK395" s="13"/>
      <c r="BL395" s="46"/>
      <c r="BM395" s="46"/>
      <c r="BN395" s="46"/>
      <c r="BO395" s="46"/>
      <c r="BP395" s="46"/>
      <c r="BQ395" s="46"/>
      <c r="BR395" s="34"/>
      <c r="BS395" s="34"/>
      <c r="BT395" s="34"/>
      <c r="BU395" s="34"/>
      <c r="BV395" s="34"/>
      <c r="BW395" s="34"/>
      <c r="BX395" s="34"/>
      <c r="BY395" s="4"/>
    </row>
    <row r="396" spans="1:77">
      <c r="A396" s="57"/>
      <c r="B396" s="15"/>
      <c r="C396" s="13"/>
      <c r="D396" s="13"/>
      <c r="E396" s="14"/>
      <c r="F396" s="13"/>
      <c r="G396" s="13"/>
      <c r="H396" s="13"/>
      <c r="I396" s="13"/>
      <c r="J396" s="13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13"/>
      <c r="BJ396" s="13"/>
      <c r="BK396" s="13"/>
      <c r="BL396" s="46"/>
      <c r="BM396" s="46"/>
      <c r="BN396" s="46"/>
      <c r="BO396" s="46"/>
      <c r="BP396" s="46"/>
      <c r="BQ396" s="46"/>
      <c r="BR396" s="34"/>
      <c r="BS396" s="34"/>
      <c r="BT396" s="34"/>
      <c r="BU396" s="34"/>
      <c r="BV396" s="34"/>
      <c r="BW396" s="34"/>
      <c r="BX396" s="34"/>
      <c r="BY396" s="4"/>
    </row>
    <row r="397" spans="1:77">
      <c r="A397" s="57"/>
      <c r="B397" s="12"/>
      <c r="C397" s="13"/>
      <c r="D397" s="13"/>
      <c r="E397" s="14"/>
      <c r="F397" s="13"/>
      <c r="G397" s="13"/>
      <c r="H397" s="13"/>
      <c r="I397" s="13"/>
      <c r="J397" s="13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13"/>
      <c r="BJ397" s="13"/>
      <c r="BK397" s="13"/>
      <c r="BL397" s="46"/>
      <c r="BM397" s="46"/>
      <c r="BN397" s="46"/>
      <c r="BO397" s="46"/>
      <c r="BP397" s="46"/>
      <c r="BQ397" s="46"/>
      <c r="BR397" s="34"/>
      <c r="BS397" s="34"/>
      <c r="BT397" s="34"/>
      <c r="BU397" s="34"/>
      <c r="BV397" s="34"/>
      <c r="BW397" s="34"/>
      <c r="BX397" s="34"/>
      <c r="BY397" s="4"/>
    </row>
    <row r="398" spans="1:77">
      <c r="A398" s="57"/>
      <c r="B398" s="13"/>
      <c r="C398" s="13"/>
      <c r="D398" s="13"/>
      <c r="E398" s="14"/>
      <c r="F398" s="13"/>
      <c r="G398" s="13"/>
      <c r="H398" s="13"/>
      <c r="I398" s="13"/>
      <c r="J398" s="13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13"/>
      <c r="BJ398" s="13"/>
      <c r="BK398" s="13"/>
      <c r="BL398" s="46"/>
      <c r="BM398" s="46"/>
      <c r="BN398" s="46"/>
      <c r="BO398" s="46"/>
      <c r="BP398" s="46"/>
      <c r="BQ398" s="46"/>
      <c r="BR398" s="34"/>
      <c r="BS398" s="34"/>
      <c r="BT398" s="34"/>
      <c r="BU398" s="34"/>
      <c r="BV398" s="34"/>
      <c r="BW398" s="34"/>
      <c r="BX398" s="34"/>
      <c r="BY398" s="4"/>
    </row>
    <row r="399" spans="1:77">
      <c r="A399" s="57"/>
      <c r="B399" s="13"/>
      <c r="C399" s="13"/>
      <c r="D399" s="13"/>
      <c r="E399" s="14"/>
      <c r="F399" s="13"/>
      <c r="G399" s="13"/>
      <c r="H399" s="13"/>
      <c r="I399" s="13"/>
      <c r="J399" s="13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13"/>
      <c r="BJ399" s="13"/>
      <c r="BK399" s="13"/>
      <c r="BL399" s="46"/>
      <c r="BM399" s="46"/>
      <c r="BN399" s="46"/>
      <c r="BO399" s="46"/>
      <c r="BP399" s="46"/>
      <c r="BQ399" s="46"/>
      <c r="BR399" s="34"/>
      <c r="BS399" s="34"/>
      <c r="BT399" s="34"/>
      <c r="BU399" s="34"/>
      <c r="BV399" s="34"/>
      <c r="BW399" s="34"/>
      <c r="BX399" s="34"/>
      <c r="BY399" s="4"/>
    </row>
    <row r="400" spans="1:77">
      <c r="A400" s="57"/>
      <c r="B400" s="12"/>
      <c r="C400" s="13"/>
      <c r="D400" s="13"/>
      <c r="E400" s="14"/>
      <c r="F400" s="13"/>
      <c r="G400" s="13"/>
      <c r="H400" s="13"/>
      <c r="I400" s="13"/>
      <c r="J400" s="13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13"/>
      <c r="BJ400" s="13"/>
      <c r="BK400" s="13"/>
      <c r="BL400" s="46"/>
      <c r="BM400" s="46"/>
      <c r="BN400" s="46"/>
      <c r="BO400" s="46"/>
      <c r="BP400" s="46"/>
      <c r="BQ400" s="46"/>
      <c r="BR400" s="34"/>
      <c r="BS400" s="34"/>
      <c r="BT400" s="34"/>
      <c r="BU400" s="34"/>
      <c r="BV400" s="34"/>
      <c r="BW400" s="34"/>
      <c r="BX400" s="34"/>
      <c r="BY400" s="4"/>
    </row>
    <row r="401" spans="1:77">
      <c r="A401" s="57"/>
      <c r="B401" s="13"/>
      <c r="C401" s="13"/>
      <c r="D401" s="13"/>
      <c r="E401" s="14"/>
      <c r="F401" s="13"/>
      <c r="G401" s="13"/>
      <c r="H401" s="13"/>
      <c r="I401" s="13"/>
      <c r="J401" s="13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13"/>
      <c r="BJ401" s="13"/>
      <c r="BK401" s="13"/>
      <c r="BL401" s="46"/>
      <c r="BM401" s="46"/>
      <c r="BN401" s="46"/>
      <c r="BO401" s="46"/>
      <c r="BP401" s="46"/>
      <c r="BQ401" s="46"/>
      <c r="BR401" s="34"/>
      <c r="BS401" s="34"/>
      <c r="BT401" s="34"/>
      <c r="BU401" s="34"/>
      <c r="BV401" s="34"/>
      <c r="BW401" s="34"/>
      <c r="BX401" s="34"/>
      <c r="BY401" s="4"/>
    </row>
    <row r="402" spans="1:77">
      <c r="A402" s="57"/>
      <c r="B402" s="15"/>
      <c r="C402" s="13"/>
      <c r="D402" s="13"/>
      <c r="E402" s="14"/>
      <c r="F402" s="13"/>
      <c r="G402" s="13"/>
      <c r="H402" s="13"/>
      <c r="I402" s="13"/>
      <c r="J402" s="13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13"/>
      <c r="BJ402" s="13"/>
      <c r="BK402" s="13"/>
      <c r="BL402" s="46"/>
      <c r="BM402" s="46"/>
      <c r="BN402" s="46"/>
      <c r="BO402" s="46"/>
      <c r="BP402" s="46"/>
      <c r="BQ402" s="46"/>
      <c r="BR402" s="34"/>
      <c r="BS402" s="34"/>
      <c r="BT402" s="34"/>
      <c r="BU402" s="34"/>
      <c r="BV402" s="34"/>
      <c r="BW402" s="34"/>
      <c r="BX402" s="34"/>
      <c r="BY402" s="4"/>
    </row>
    <row r="403" spans="1:77">
      <c r="A403" s="57"/>
      <c r="B403" s="15"/>
      <c r="C403" s="13"/>
      <c r="D403" s="13"/>
      <c r="E403" s="14"/>
      <c r="F403" s="13"/>
      <c r="G403" s="13"/>
      <c r="H403" s="13"/>
      <c r="I403" s="13"/>
      <c r="J403" s="13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13"/>
      <c r="BJ403" s="13"/>
      <c r="BK403" s="13"/>
      <c r="BL403" s="46"/>
      <c r="BM403" s="46"/>
      <c r="BN403" s="46"/>
      <c r="BO403" s="46"/>
      <c r="BP403" s="46"/>
      <c r="BQ403" s="46"/>
      <c r="BR403" s="34"/>
      <c r="BS403" s="34"/>
      <c r="BT403" s="34"/>
      <c r="BU403" s="34"/>
      <c r="BV403" s="34"/>
      <c r="BW403" s="34"/>
      <c r="BX403" s="34"/>
      <c r="BY403" s="4"/>
    </row>
    <row r="404" spans="1:77">
      <c r="A404" s="57"/>
      <c r="B404" s="13"/>
      <c r="C404" s="13"/>
      <c r="D404" s="13"/>
      <c r="E404" s="14"/>
      <c r="F404" s="13"/>
      <c r="G404" s="13"/>
      <c r="H404" s="13"/>
      <c r="I404" s="13"/>
      <c r="J404" s="13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13"/>
      <c r="BJ404" s="13"/>
      <c r="BK404" s="13"/>
      <c r="BL404" s="46"/>
      <c r="BM404" s="46"/>
      <c r="BN404" s="46"/>
      <c r="BO404" s="46"/>
      <c r="BP404" s="46"/>
      <c r="BQ404" s="46"/>
      <c r="BR404" s="34"/>
      <c r="BS404" s="34"/>
      <c r="BT404" s="34"/>
      <c r="BU404" s="34"/>
      <c r="BV404" s="34"/>
      <c r="BW404" s="34"/>
      <c r="BX404" s="34"/>
      <c r="BY404" s="4"/>
    </row>
    <row r="405" spans="1:77">
      <c r="A405" s="57"/>
      <c r="B405" s="15"/>
      <c r="C405" s="13"/>
      <c r="D405" s="13"/>
      <c r="E405" s="14"/>
      <c r="F405" s="13"/>
      <c r="G405" s="13"/>
      <c r="H405" s="13"/>
      <c r="I405" s="13"/>
      <c r="J405" s="13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13"/>
      <c r="BJ405" s="13"/>
      <c r="BK405" s="13"/>
      <c r="BL405" s="46"/>
      <c r="BM405" s="46"/>
      <c r="BN405" s="46"/>
      <c r="BO405" s="46"/>
      <c r="BP405" s="46"/>
      <c r="BQ405" s="46"/>
      <c r="BR405" s="34"/>
      <c r="BS405" s="34"/>
      <c r="BT405" s="34"/>
      <c r="BU405" s="34"/>
      <c r="BV405" s="34"/>
      <c r="BW405" s="34"/>
      <c r="BX405" s="34"/>
      <c r="BY405" s="4"/>
    </row>
    <row r="406" spans="1:77">
      <c r="A406" s="57"/>
      <c r="B406" s="12"/>
      <c r="C406" s="13"/>
      <c r="D406" s="13"/>
      <c r="E406" s="14"/>
      <c r="F406" s="13"/>
      <c r="G406" s="13"/>
      <c r="H406" s="13"/>
      <c r="I406" s="13"/>
      <c r="J406" s="13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13"/>
      <c r="BJ406" s="13"/>
      <c r="BK406" s="13"/>
      <c r="BL406" s="46"/>
      <c r="BM406" s="46"/>
      <c r="BN406" s="46"/>
      <c r="BO406" s="46"/>
      <c r="BP406" s="46"/>
      <c r="BQ406" s="46"/>
      <c r="BR406" s="34"/>
      <c r="BS406" s="34"/>
      <c r="BT406" s="34"/>
      <c r="BU406" s="34"/>
      <c r="BV406" s="34"/>
      <c r="BW406" s="34"/>
      <c r="BX406" s="34"/>
      <c r="BY406" s="4"/>
    </row>
    <row r="407" spans="1:77">
      <c r="A407" s="57"/>
      <c r="B407" s="15"/>
      <c r="C407" s="13"/>
      <c r="D407" s="13"/>
      <c r="E407" s="14"/>
      <c r="F407" s="13"/>
      <c r="G407" s="13"/>
      <c r="H407" s="13"/>
      <c r="I407" s="13"/>
      <c r="J407" s="13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13"/>
      <c r="BJ407" s="13"/>
      <c r="BK407" s="13"/>
      <c r="BL407" s="46"/>
      <c r="BM407" s="46"/>
      <c r="BN407" s="46"/>
      <c r="BO407" s="46"/>
      <c r="BP407" s="46"/>
      <c r="BQ407" s="46"/>
      <c r="BR407" s="34"/>
      <c r="BS407" s="34"/>
      <c r="BT407" s="34"/>
      <c r="BU407" s="34"/>
      <c r="BV407" s="34"/>
      <c r="BW407" s="34"/>
      <c r="BX407" s="34"/>
      <c r="BY407" s="4"/>
    </row>
    <row r="408" spans="1:77">
      <c r="A408" s="57"/>
      <c r="B408" s="13"/>
      <c r="C408" s="13"/>
      <c r="D408" s="13"/>
      <c r="E408" s="14"/>
      <c r="F408" s="13"/>
      <c r="G408" s="13"/>
      <c r="H408" s="13"/>
      <c r="I408" s="13"/>
      <c r="J408" s="13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13"/>
      <c r="BJ408" s="13"/>
      <c r="BK408" s="13"/>
      <c r="BL408" s="46"/>
      <c r="BM408" s="46"/>
      <c r="BN408" s="46"/>
      <c r="BO408" s="46"/>
      <c r="BP408" s="46"/>
      <c r="BQ408" s="46"/>
      <c r="BR408" s="34"/>
      <c r="BS408" s="34"/>
      <c r="BT408" s="34"/>
      <c r="BU408" s="34"/>
      <c r="BV408" s="34"/>
      <c r="BW408" s="34"/>
      <c r="BX408" s="34"/>
      <c r="BY408" s="4"/>
    </row>
    <row r="409" spans="1:77">
      <c r="A409" s="57"/>
      <c r="B409" s="12"/>
      <c r="C409" s="13"/>
      <c r="D409" s="13"/>
      <c r="E409" s="14"/>
      <c r="F409" s="13"/>
      <c r="G409" s="13"/>
      <c r="H409" s="13"/>
      <c r="I409" s="13"/>
      <c r="J409" s="13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13"/>
      <c r="BJ409" s="13"/>
      <c r="BK409" s="13"/>
      <c r="BL409" s="46"/>
      <c r="BM409" s="46"/>
      <c r="BN409" s="46"/>
      <c r="BO409" s="46"/>
      <c r="BP409" s="46"/>
      <c r="BQ409" s="46"/>
      <c r="BR409" s="34"/>
      <c r="BS409" s="34"/>
      <c r="BT409" s="34"/>
      <c r="BU409" s="34"/>
      <c r="BV409" s="34"/>
      <c r="BW409" s="34"/>
      <c r="BX409" s="34"/>
      <c r="BY409" s="4"/>
    </row>
    <row r="410" spans="1:77">
      <c r="A410" s="57"/>
      <c r="B410" s="13"/>
      <c r="C410" s="13"/>
      <c r="D410" s="13"/>
      <c r="E410" s="14"/>
      <c r="F410" s="13"/>
      <c r="G410" s="13"/>
      <c r="H410" s="13"/>
      <c r="I410" s="13"/>
      <c r="J410" s="13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13"/>
      <c r="BJ410" s="13"/>
      <c r="BK410" s="13"/>
      <c r="BL410" s="46"/>
      <c r="BM410" s="46"/>
      <c r="BN410" s="46"/>
      <c r="BO410" s="46"/>
      <c r="BP410" s="46"/>
      <c r="BQ410" s="46"/>
      <c r="BR410" s="34"/>
      <c r="BS410" s="34"/>
      <c r="BT410" s="34"/>
      <c r="BU410" s="34"/>
      <c r="BV410" s="34"/>
      <c r="BW410" s="34"/>
      <c r="BX410" s="34"/>
      <c r="BY410" s="4"/>
    </row>
    <row r="411" spans="1:77">
      <c r="A411" s="57"/>
      <c r="B411" s="12"/>
      <c r="C411" s="13"/>
      <c r="D411" s="13"/>
      <c r="E411" s="14"/>
      <c r="F411" s="13"/>
      <c r="G411" s="13"/>
      <c r="H411" s="13"/>
      <c r="I411" s="13"/>
      <c r="J411" s="13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13"/>
      <c r="BJ411" s="13"/>
      <c r="BK411" s="13"/>
      <c r="BL411" s="46"/>
      <c r="BM411" s="46"/>
      <c r="BN411" s="46"/>
      <c r="BO411" s="46"/>
      <c r="BP411" s="46"/>
      <c r="BQ411" s="46"/>
      <c r="BR411" s="34"/>
      <c r="BS411" s="34"/>
      <c r="BT411" s="34"/>
      <c r="BU411" s="34"/>
      <c r="BV411" s="34"/>
      <c r="BW411" s="34"/>
      <c r="BX411" s="34"/>
      <c r="BY411" s="4"/>
    </row>
    <row r="412" spans="1:77">
      <c r="A412" s="57"/>
      <c r="B412" s="15"/>
      <c r="C412" s="13"/>
      <c r="D412" s="13"/>
      <c r="E412" s="14"/>
      <c r="F412" s="13"/>
      <c r="G412" s="13"/>
      <c r="H412" s="13"/>
      <c r="I412" s="13"/>
      <c r="J412" s="13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13"/>
      <c r="BJ412" s="13"/>
      <c r="BK412" s="13"/>
      <c r="BL412" s="46"/>
      <c r="BM412" s="46"/>
      <c r="BN412" s="46"/>
      <c r="BO412" s="46"/>
      <c r="BP412" s="46"/>
      <c r="BQ412" s="46"/>
      <c r="BR412" s="34"/>
      <c r="BS412" s="34"/>
      <c r="BT412" s="34"/>
      <c r="BU412" s="34"/>
      <c r="BV412" s="34"/>
      <c r="BW412" s="34"/>
      <c r="BX412" s="34"/>
      <c r="BY412" s="4"/>
    </row>
    <row r="413" spans="1:77">
      <c r="A413" s="57"/>
      <c r="B413" s="13"/>
      <c r="C413" s="13"/>
      <c r="D413" s="13"/>
      <c r="E413" s="14"/>
      <c r="F413" s="13"/>
      <c r="G413" s="13"/>
      <c r="H413" s="13"/>
      <c r="I413" s="13"/>
      <c r="J413" s="13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13"/>
      <c r="BJ413" s="13"/>
      <c r="BK413" s="13"/>
      <c r="BL413" s="46"/>
      <c r="BM413" s="46"/>
      <c r="BN413" s="46"/>
      <c r="BO413" s="46"/>
      <c r="BP413" s="46"/>
      <c r="BQ413" s="46"/>
      <c r="BR413" s="34"/>
      <c r="BS413" s="34"/>
      <c r="BT413" s="34"/>
      <c r="BU413" s="34"/>
      <c r="BV413" s="34"/>
      <c r="BW413" s="34"/>
      <c r="BX413" s="34"/>
      <c r="BY413" s="4"/>
    </row>
    <row r="414" spans="1:77">
      <c r="A414" s="57"/>
      <c r="B414" s="12"/>
      <c r="C414" s="13"/>
      <c r="D414" s="13"/>
      <c r="E414" s="14"/>
      <c r="F414" s="13"/>
      <c r="G414" s="13"/>
      <c r="H414" s="13"/>
      <c r="I414" s="13"/>
      <c r="J414" s="13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13"/>
      <c r="BJ414" s="13"/>
      <c r="BK414" s="13"/>
      <c r="BL414" s="46"/>
      <c r="BM414" s="46"/>
      <c r="BN414" s="46"/>
      <c r="BO414" s="46"/>
      <c r="BP414" s="46"/>
      <c r="BQ414" s="46"/>
      <c r="BR414" s="34"/>
      <c r="BS414" s="34"/>
      <c r="BT414" s="34"/>
      <c r="BU414" s="34"/>
      <c r="BV414" s="34"/>
      <c r="BW414" s="34"/>
      <c r="BX414" s="34"/>
      <c r="BY414" s="4"/>
    </row>
    <row r="415" spans="1:77">
      <c r="A415" s="57"/>
      <c r="B415" s="13"/>
      <c r="C415" s="13"/>
      <c r="D415" s="13"/>
      <c r="E415" s="14"/>
      <c r="F415" s="13"/>
      <c r="G415" s="13"/>
      <c r="H415" s="13"/>
      <c r="I415" s="13"/>
      <c r="J415" s="13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13"/>
      <c r="BJ415" s="13"/>
      <c r="BK415" s="13"/>
      <c r="BL415" s="46"/>
      <c r="BM415" s="46"/>
      <c r="BN415" s="46"/>
      <c r="BO415" s="46"/>
      <c r="BP415" s="46"/>
      <c r="BQ415" s="46"/>
      <c r="BR415" s="34"/>
      <c r="BS415" s="34"/>
      <c r="BT415" s="34"/>
      <c r="BU415" s="34"/>
      <c r="BV415" s="34"/>
      <c r="BW415" s="34"/>
      <c r="BX415" s="34"/>
      <c r="BY415" s="4"/>
    </row>
    <row r="416" spans="1:77">
      <c r="A416" s="57"/>
      <c r="B416" s="12"/>
      <c r="C416" s="13"/>
      <c r="D416" s="13"/>
      <c r="E416" s="14"/>
      <c r="F416" s="13"/>
      <c r="G416" s="13"/>
      <c r="H416" s="13"/>
      <c r="I416" s="13"/>
      <c r="J416" s="13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13"/>
      <c r="BJ416" s="13"/>
      <c r="BK416" s="13"/>
      <c r="BL416" s="46"/>
      <c r="BM416" s="46"/>
      <c r="BN416" s="46"/>
      <c r="BO416" s="46"/>
      <c r="BP416" s="46"/>
      <c r="BQ416" s="46"/>
      <c r="BR416" s="34"/>
      <c r="BS416" s="34"/>
      <c r="BT416" s="34"/>
      <c r="BU416" s="34"/>
      <c r="BV416" s="34"/>
      <c r="BW416" s="34"/>
      <c r="BX416" s="34"/>
      <c r="BY416" s="4"/>
    </row>
    <row r="417" spans="1:77">
      <c r="A417" s="57"/>
      <c r="B417" s="12"/>
      <c r="C417" s="13"/>
      <c r="D417" s="13"/>
      <c r="E417" s="14"/>
      <c r="F417" s="13"/>
      <c r="G417" s="13"/>
      <c r="H417" s="13"/>
      <c r="I417" s="13"/>
      <c r="J417" s="13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13"/>
      <c r="BJ417" s="13"/>
      <c r="BK417" s="13"/>
      <c r="BL417" s="46"/>
      <c r="BM417" s="46"/>
      <c r="BN417" s="46"/>
      <c r="BO417" s="46"/>
      <c r="BP417" s="46"/>
      <c r="BQ417" s="46"/>
      <c r="BR417" s="34"/>
      <c r="BS417" s="34"/>
      <c r="BT417" s="34"/>
      <c r="BU417" s="34"/>
      <c r="BV417" s="34"/>
      <c r="BW417" s="34"/>
      <c r="BX417" s="34"/>
      <c r="BY417" s="4"/>
    </row>
    <row r="418" spans="1:77">
      <c r="A418" s="57"/>
      <c r="B418" s="13"/>
      <c r="C418" s="13"/>
      <c r="D418" s="13"/>
      <c r="E418" s="14"/>
      <c r="F418" s="13"/>
      <c r="G418" s="13"/>
      <c r="H418" s="13"/>
      <c r="I418" s="13"/>
      <c r="J418" s="13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13"/>
      <c r="BJ418" s="13"/>
      <c r="BK418" s="13"/>
      <c r="BL418" s="46"/>
      <c r="BM418" s="46"/>
      <c r="BN418" s="46"/>
      <c r="BO418" s="46"/>
      <c r="BP418" s="46"/>
      <c r="BQ418" s="46"/>
      <c r="BR418" s="34"/>
      <c r="BS418" s="34"/>
      <c r="BT418" s="34"/>
      <c r="BU418" s="34"/>
      <c r="BV418" s="34"/>
      <c r="BW418" s="34"/>
      <c r="BX418" s="34"/>
      <c r="BY418" s="4"/>
    </row>
    <row r="419" spans="1:77">
      <c r="A419" s="57"/>
      <c r="B419" s="15"/>
      <c r="C419" s="13"/>
      <c r="D419" s="13"/>
      <c r="E419" s="14"/>
      <c r="F419" s="13"/>
      <c r="G419" s="13"/>
      <c r="H419" s="13"/>
      <c r="I419" s="13"/>
      <c r="J419" s="13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13"/>
      <c r="BJ419" s="13"/>
      <c r="BK419" s="13"/>
      <c r="BL419" s="46"/>
      <c r="BM419" s="46"/>
      <c r="BN419" s="46"/>
      <c r="BO419" s="46"/>
      <c r="BP419" s="46"/>
      <c r="BQ419" s="46"/>
      <c r="BR419" s="34"/>
      <c r="BS419" s="34"/>
      <c r="BT419" s="34"/>
      <c r="BU419" s="34"/>
      <c r="BV419" s="34"/>
      <c r="BW419" s="34"/>
      <c r="BX419" s="34"/>
      <c r="BY419" s="4"/>
    </row>
    <row r="420" spans="1:77">
      <c r="A420" s="57"/>
      <c r="B420" s="13"/>
      <c r="C420" s="13"/>
      <c r="D420" s="13"/>
      <c r="E420" s="14"/>
      <c r="F420" s="13"/>
      <c r="G420" s="13"/>
      <c r="H420" s="13"/>
      <c r="I420" s="13"/>
      <c r="J420" s="13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13"/>
      <c r="BJ420" s="13"/>
      <c r="BK420" s="13"/>
      <c r="BL420" s="46"/>
      <c r="BM420" s="46"/>
      <c r="BN420" s="46"/>
      <c r="BO420" s="46"/>
      <c r="BP420" s="46"/>
      <c r="BQ420" s="46"/>
      <c r="BR420" s="34"/>
      <c r="BS420" s="34"/>
      <c r="BT420" s="34"/>
      <c r="BU420" s="34"/>
      <c r="BV420" s="34"/>
      <c r="BW420" s="34"/>
      <c r="BX420" s="34"/>
      <c r="BY420" s="4"/>
    </row>
    <row r="421" spans="1:77">
      <c r="A421" s="57"/>
      <c r="B421" s="13"/>
      <c r="C421" s="13"/>
      <c r="D421" s="13"/>
      <c r="E421" s="14"/>
      <c r="F421" s="13"/>
      <c r="G421" s="13"/>
      <c r="H421" s="13"/>
      <c r="I421" s="13"/>
      <c r="J421" s="13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13"/>
      <c r="BJ421" s="13"/>
      <c r="BK421" s="13"/>
      <c r="BL421" s="46"/>
      <c r="BM421" s="46"/>
      <c r="BN421" s="46"/>
      <c r="BO421" s="46"/>
      <c r="BP421" s="46"/>
      <c r="BQ421" s="46"/>
      <c r="BR421" s="34"/>
      <c r="BS421" s="34"/>
      <c r="BT421" s="34"/>
      <c r="BU421" s="34"/>
      <c r="BV421" s="34"/>
      <c r="BW421" s="34"/>
      <c r="BX421" s="34"/>
      <c r="BY421" s="4"/>
    </row>
    <row r="422" spans="1:77">
      <c r="A422" s="57"/>
      <c r="B422" s="12"/>
      <c r="C422" s="13"/>
      <c r="D422" s="13"/>
      <c r="E422" s="14"/>
      <c r="F422" s="13"/>
      <c r="G422" s="13"/>
      <c r="H422" s="13"/>
      <c r="I422" s="13"/>
      <c r="J422" s="13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13"/>
      <c r="BJ422" s="13"/>
      <c r="BK422" s="13"/>
      <c r="BL422" s="46"/>
      <c r="BM422" s="46"/>
      <c r="BN422" s="46"/>
      <c r="BO422" s="46"/>
      <c r="BP422" s="46"/>
      <c r="BQ422" s="46"/>
      <c r="BR422" s="34"/>
      <c r="BS422" s="34"/>
      <c r="BT422" s="34"/>
      <c r="BU422" s="34"/>
      <c r="BV422" s="34"/>
      <c r="BW422" s="34"/>
      <c r="BX422" s="34"/>
      <c r="BY422" s="4"/>
    </row>
    <row r="423" spans="1:77">
      <c r="A423" s="57"/>
      <c r="B423" s="12"/>
      <c r="C423" s="13"/>
      <c r="D423" s="13"/>
      <c r="E423" s="14"/>
      <c r="F423" s="13"/>
      <c r="G423" s="13"/>
      <c r="H423" s="13"/>
      <c r="I423" s="13"/>
      <c r="J423" s="13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13"/>
      <c r="BJ423" s="13"/>
      <c r="BK423" s="13"/>
      <c r="BL423" s="46"/>
      <c r="BM423" s="46"/>
      <c r="BN423" s="46"/>
      <c r="BO423" s="46"/>
      <c r="BP423" s="46"/>
      <c r="BQ423" s="46"/>
      <c r="BR423" s="34"/>
      <c r="BS423" s="34"/>
      <c r="BT423" s="34"/>
      <c r="BU423" s="34"/>
      <c r="BV423" s="34"/>
      <c r="BW423" s="34"/>
      <c r="BX423" s="34"/>
      <c r="BY423" s="4"/>
    </row>
    <row r="424" spans="1:77">
      <c r="A424" s="57"/>
      <c r="B424" s="12"/>
      <c r="C424" s="13"/>
      <c r="D424" s="13"/>
      <c r="E424" s="14"/>
      <c r="F424" s="13"/>
      <c r="G424" s="13"/>
      <c r="H424" s="13"/>
      <c r="I424" s="13"/>
      <c r="J424" s="13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13"/>
      <c r="BJ424" s="13"/>
      <c r="BK424" s="13"/>
      <c r="BL424" s="46"/>
      <c r="BM424" s="46"/>
      <c r="BN424" s="46"/>
      <c r="BO424" s="46"/>
      <c r="BP424" s="46"/>
      <c r="BQ424" s="46"/>
      <c r="BR424" s="34"/>
      <c r="BS424" s="34"/>
      <c r="BT424" s="34"/>
      <c r="BU424" s="34"/>
      <c r="BV424" s="34"/>
      <c r="BW424" s="34"/>
      <c r="BX424" s="34"/>
      <c r="BY424" s="4"/>
    </row>
    <row r="425" spans="1:77">
      <c r="A425" s="57"/>
      <c r="B425" s="12"/>
      <c r="C425" s="13"/>
      <c r="D425" s="13"/>
      <c r="E425" s="14"/>
      <c r="F425" s="13"/>
      <c r="G425" s="13"/>
      <c r="H425" s="13"/>
      <c r="I425" s="13"/>
      <c r="J425" s="13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13"/>
      <c r="BJ425" s="13"/>
      <c r="BK425" s="13"/>
      <c r="BL425" s="46"/>
      <c r="BM425" s="46"/>
      <c r="BN425" s="46"/>
      <c r="BO425" s="46"/>
      <c r="BP425" s="46"/>
      <c r="BQ425" s="46"/>
      <c r="BR425" s="34"/>
      <c r="BS425" s="34"/>
      <c r="BT425" s="34"/>
      <c r="BU425" s="34"/>
      <c r="BV425" s="34"/>
      <c r="BW425" s="34"/>
      <c r="BX425" s="34"/>
      <c r="BY425" s="4"/>
    </row>
    <row r="426" spans="1:77">
      <c r="A426" s="57"/>
      <c r="B426" s="12"/>
      <c r="C426" s="13"/>
      <c r="D426" s="13"/>
      <c r="E426" s="14"/>
      <c r="F426" s="13"/>
      <c r="G426" s="13"/>
      <c r="H426" s="13"/>
      <c r="I426" s="13"/>
      <c r="J426" s="13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13"/>
      <c r="BJ426" s="13"/>
      <c r="BK426" s="13"/>
      <c r="BL426" s="46"/>
      <c r="BM426" s="46"/>
      <c r="BN426" s="46"/>
      <c r="BO426" s="46"/>
      <c r="BP426" s="46"/>
      <c r="BQ426" s="46"/>
      <c r="BR426" s="34"/>
      <c r="BS426" s="34"/>
      <c r="BT426" s="34"/>
      <c r="BU426" s="34"/>
      <c r="BV426" s="34"/>
      <c r="BW426" s="34"/>
      <c r="BX426" s="34"/>
      <c r="BY426" s="4"/>
    </row>
    <row r="427" spans="1:77">
      <c r="A427" s="57"/>
      <c r="B427" s="13"/>
      <c r="C427" s="13"/>
      <c r="D427" s="13"/>
      <c r="E427" s="14"/>
      <c r="F427" s="13"/>
      <c r="G427" s="13"/>
      <c r="H427" s="13"/>
      <c r="I427" s="13"/>
      <c r="J427" s="13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13"/>
      <c r="BJ427" s="13"/>
      <c r="BK427" s="13"/>
      <c r="BL427" s="46"/>
      <c r="BM427" s="46"/>
      <c r="BN427" s="46"/>
      <c r="BO427" s="46"/>
      <c r="BP427" s="46"/>
      <c r="BQ427" s="46"/>
      <c r="BR427" s="34"/>
      <c r="BS427" s="34"/>
      <c r="BT427" s="34"/>
      <c r="BU427" s="34"/>
      <c r="BV427" s="34"/>
      <c r="BW427" s="34"/>
      <c r="BX427" s="34"/>
      <c r="BY427" s="4"/>
    </row>
    <row r="428" spans="1:77">
      <c r="A428" s="57"/>
      <c r="B428" s="12"/>
      <c r="C428" s="13"/>
      <c r="D428" s="13"/>
      <c r="E428" s="14"/>
      <c r="F428" s="13"/>
      <c r="G428" s="13"/>
      <c r="H428" s="13"/>
      <c r="I428" s="13"/>
      <c r="J428" s="13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13"/>
      <c r="BJ428" s="13"/>
      <c r="BK428" s="13"/>
      <c r="BL428" s="46"/>
      <c r="BM428" s="46"/>
      <c r="BN428" s="46"/>
      <c r="BO428" s="46"/>
      <c r="BP428" s="46"/>
      <c r="BQ428" s="46"/>
      <c r="BR428" s="34"/>
      <c r="BS428" s="34"/>
      <c r="BT428" s="34"/>
      <c r="BU428" s="34"/>
      <c r="BV428" s="34"/>
      <c r="BW428" s="34"/>
      <c r="BX428" s="34"/>
      <c r="BY428" s="4"/>
    </row>
    <row r="429" spans="1:77">
      <c r="A429" s="57"/>
      <c r="B429" s="13"/>
      <c r="C429" s="13"/>
      <c r="D429" s="13"/>
      <c r="E429" s="14"/>
      <c r="F429" s="13"/>
      <c r="G429" s="13"/>
      <c r="H429" s="13"/>
      <c r="I429" s="13"/>
      <c r="J429" s="13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13"/>
      <c r="BJ429" s="13"/>
      <c r="BK429" s="13"/>
      <c r="BL429" s="46"/>
      <c r="BM429" s="46"/>
      <c r="BN429" s="46"/>
      <c r="BO429" s="46"/>
      <c r="BP429" s="46"/>
      <c r="BQ429" s="46"/>
      <c r="BR429" s="34"/>
      <c r="BS429" s="34"/>
      <c r="BT429" s="34"/>
      <c r="BU429" s="34"/>
      <c r="BV429" s="34"/>
      <c r="BW429" s="34"/>
      <c r="BX429" s="34"/>
      <c r="BY429" s="4"/>
    </row>
    <row r="430" spans="1:77">
      <c r="A430" s="57"/>
      <c r="B430" s="12"/>
      <c r="C430" s="13"/>
      <c r="D430" s="13"/>
      <c r="E430" s="14"/>
      <c r="F430" s="13"/>
      <c r="G430" s="13"/>
      <c r="H430" s="13"/>
      <c r="I430" s="13"/>
      <c r="J430" s="13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13"/>
      <c r="BJ430" s="13"/>
      <c r="BK430" s="13"/>
      <c r="BL430" s="46"/>
      <c r="BM430" s="46"/>
      <c r="BN430" s="46"/>
      <c r="BO430" s="46"/>
      <c r="BP430" s="46"/>
      <c r="BQ430" s="46"/>
      <c r="BR430" s="34"/>
      <c r="BS430" s="34"/>
      <c r="BT430" s="34"/>
      <c r="BU430" s="34"/>
      <c r="BV430" s="34"/>
      <c r="BW430" s="34"/>
      <c r="BX430" s="34"/>
      <c r="BY430" s="4"/>
    </row>
    <row r="431" spans="1:77">
      <c r="A431" s="57"/>
      <c r="B431" s="13"/>
      <c r="C431" s="13"/>
      <c r="D431" s="13"/>
      <c r="E431" s="14"/>
      <c r="F431" s="13"/>
      <c r="G431" s="13"/>
      <c r="H431" s="13"/>
      <c r="I431" s="13"/>
      <c r="J431" s="13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13"/>
      <c r="BJ431" s="13"/>
      <c r="BK431" s="13"/>
      <c r="BL431" s="46"/>
      <c r="BM431" s="46"/>
      <c r="BN431" s="46"/>
      <c r="BO431" s="46"/>
      <c r="BP431" s="46"/>
      <c r="BQ431" s="46"/>
      <c r="BR431" s="34"/>
      <c r="BS431" s="34"/>
      <c r="BT431" s="34"/>
      <c r="BU431" s="34"/>
      <c r="BV431" s="34"/>
      <c r="BW431" s="34"/>
      <c r="BX431" s="34"/>
      <c r="BY431" s="4"/>
    </row>
    <row r="432" spans="1:77">
      <c r="A432" s="57"/>
      <c r="B432" s="12"/>
      <c r="C432" s="13"/>
      <c r="D432" s="13"/>
      <c r="E432" s="14"/>
      <c r="F432" s="13"/>
      <c r="G432" s="13"/>
      <c r="H432" s="13"/>
      <c r="I432" s="13"/>
      <c r="J432" s="13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13"/>
      <c r="BJ432" s="13"/>
      <c r="BK432" s="13"/>
      <c r="BL432" s="46"/>
      <c r="BM432" s="46"/>
      <c r="BN432" s="46"/>
      <c r="BO432" s="46"/>
      <c r="BP432" s="46"/>
      <c r="BQ432" s="46"/>
      <c r="BR432" s="34"/>
      <c r="BS432" s="34"/>
      <c r="BT432" s="34"/>
      <c r="BU432" s="34"/>
      <c r="BV432" s="34"/>
      <c r="BW432" s="34"/>
      <c r="BX432" s="34"/>
      <c r="BY432" s="4"/>
    </row>
    <row r="433" spans="1:77">
      <c r="A433" s="57"/>
      <c r="B433" s="13"/>
      <c r="C433" s="13"/>
      <c r="D433" s="13"/>
      <c r="E433" s="14"/>
      <c r="F433" s="13"/>
      <c r="G433" s="13"/>
      <c r="H433" s="13"/>
      <c r="I433" s="13"/>
      <c r="J433" s="13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13"/>
      <c r="BJ433" s="13"/>
      <c r="BK433" s="13"/>
      <c r="BL433" s="46"/>
      <c r="BM433" s="46"/>
      <c r="BN433" s="46"/>
      <c r="BO433" s="46"/>
      <c r="BP433" s="46"/>
      <c r="BQ433" s="46"/>
      <c r="BR433" s="34"/>
      <c r="BS433" s="34"/>
      <c r="BT433" s="34"/>
      <c r="BU433" s="34"/>
      <c r="BV433" s="34"/>
      <c r="BW433" s="34"/>
      <c r="BX433" s="34"/>
      <c r="BY433" s="4"/>
    </row>
    <row r="434" spans="1:77">
      <c r="A434" s="57"/>
      <c r="B434" s="12"/>
      <c r="C434" s="13"/>
      <c r="D434" s="13"/>
      <c r="E434" s="14"/>
      <c r="F434" s="13"/>
      <c r="G434" s="13"/>
      <c r="H434" s="13"/>
      <c r="I434" s="13"/>
      <c r="J434" s="13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13"/>
      <c r="BJ434" s="13"/>
      <c r="BK434" s="13"/>
      <c r="BL434" s="46"/>
      <c r="BM434" s="46"/>
      <c r="BN434" s="46"/>
      <c r="BO434" s="46"/>
      <c r="BP434" s="46"/>
      <c r="BQ434" s="46"/>
      <c r="BR434" s="34"/>
      <c r="BS434" s="34"/>
      <c r="BT434" s="34"/>
      <c r="BU434" s="34"/>
      <c r="BV434" s="34"/>
      <c r="BW434" s="34"/>
      <c r="BX434" s="34"/>
      <c r="BY434" s="4"/>
    </row>
    <row r="435" spans="1:77">
      <c r="A435" s="57"/>
      <c r="B435" s="12"/>
      <c r="C435" s="13"/>
      <c r="D435" s="13"/>
      <c r="E435" s="14"/>
      <c r="F435" s="13"/>
      <c r="G435" s="13"/>
      <c r="H435" s="13"/>
      <c r="I435" s="13"/>
      <c r="J435" s="13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13"/>
      <c r="BJ435" s="13"/>
      <c r="BK435" s="13"/>
      <c r="BL435" s="46"/>
      <c r="BM435" s="46"/>
      <c r="BN435" s="46"/>
      <c r="BO435" s="46"/>
      <c r="BP435" s="46"/>
      <c r="BQ435" s="46"/>
      <c r="BR435" s="34"/>
      <c r="BS435" s="34"/>
      <c r="BT435" s="34"/>
      <c r="BU435" s="34"/>
      <c r="BV435" s="34"/>
      <c r="BW435" s="34"/>
      <c r="BX435" s="34"/>
      <c r="BY435" s="4"/>
    </row>
    <row r="436" spans="1:77">
      <c r="A436" s="57"/>
      <c r="B436" s="13"/>
      <c r="C436" s="13"/>
      <c r="D436" s="13"/>
      <c r="E436" s="14"/>
      <c r="F436" s="13"/>
      <c r="G436" s="13"/>
      <c r="H436" s="13"/>
      <c r="I436" s="13"/>
      <c r="J436" s="13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13"/>
      <c r="BJ436" s="13"/>
      <c r="BK436" s="13"/>
      <c r="BL436" s="46"/>
      <c r="BM436" s="46"/>
      <c r="BN436" s="46"/>
      <c r="BO436" s="46"/>
      <c r="BP436" s="46"/>
      <c r="BQ436" s="46"/>
      <c r="BR436" s="34"/>
      <c r="BS436" s="34"/>
      <c r="BT436" s="34"/>
      <c r="BU436" s="34"/>
      <c r="BV436" s="34"/>
      <c r="BW436" s="34"/>
      <c r="BX436" s="34"/>
      <c r="BY436" s="4"/>
    </row>
    <row r="437" spans="1:77">
      <c r="A437" s="57"/>
      <c r="B437" s="12"/>
      <c r="C437" s="13"/>
      <c r="D437" s="13"/>
      <c r="E437" s="14"/>
      <c r="F437" s="13"/>
      <c r="G437" s="13"/>
      <c r="H437" s="13"/>
      <c r="I437" s="13"/>
      <c r="J437" s="13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13"/>
      <c r="BJ437" s="13"/>
      <c r="BK437" s="13"/>
      <c r="BL437" s="46"/>
      <c r="BM437" s="46"/>
      <c r="BN437" s="46"/>
      <c r="BO437" s="46"/>
      <c r="BP437" s="46"/>
      <c r="BQ437" s="46"/>
      <c r="BR437" s="34"/>
      <c r="BS437" s="34"/>
      <c r="BT437" s="34"/>
      <c r="BU437" s="34"/>
      <c r="BV437" s="34"/>
      <c r="BW437" s="34"/>
      <c r="BX437" s="34"/>
      <c r="BY437" s="4"/>
    </row>
    <row r="438" spans="1:77">
      <c r="A438" s="57"/>
      <c r="B438" s="13"/>
      <c r="C438" s="13"/>
      <c r="D438" s="13"/>
      <c r="E438" s="14"/>
      <c r="F438" s="13"/>
      <c r="G438" s="13"/>
      <c r="H438" s="13"/>
      <c r="I438" s="13"/>
      <c r="J438" s="13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13"/>
      <c r="BJ438" s="13"/>
      <c r="BK438" s="13"/>
      <c r="BL438" s="46"/>
      <c r="BM438" s="46"/>
      <c r="BN438" s="46"/>
      <c r="BO438" s="46"/>
      <c r="BP438" s="46"/>
      <c r="BQ438" s="46"/>
      <c r="BR438" s="34"/>
      <c r="BS438" s="34"/>
      <c r="BT438" s="34"/>
      <c r="BU438" s="34"/>
      <c r="BV438" s="34"/>
      <c r="BW438" s="34"/>
      <c r="BX438" s="34"/>
      <c r="BY438" s="4"/>
    </row>
    <row r="439" spans="1:77">
      <c r="A439" s="57"/>
      <c r="B439" s="13"/>
      <c r="C439" s="13"/>
      <c r="D439" s="13"/>
      <c r="E439" s="14"/>
      <c r="F439" s="13"/>
      <c r="G439" s="13"/>
      <c r="H439" s="13"/>
      <c r="I439" s="13"/>
      <c r="J439" s="13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13"/>
      <c r="BJ439" s="13"/>
      <c r="BK439" s="13"/>
      <c r="BL439" s="46"/>
      <c r="BM439" s="46"/>
      <c r="BN439" s="46"/>
      <c r="BO439" s="46"/>
      <c r="BP439" s="46"/>
      <c r="BQ439" s="46"/>
      <c r="BR439" s="34"/>
      <c r="BS439" s="34"/>
      <c r="BT439" s="34"/>
      <c r="BU439" s="34"/>
      <c r="BV439" s="34"/>
      <c r="BW439" s="34"/>
      <c r="BX439" s="34"/>
      <c r="BY439" s="4"/>
    </row>
    <row r="440" spans="1:77">
      <c r="A440" s="57"/>
      <c r="B440" s="12"/>
      <c r="C440" s="13"/>
      <c r="D440" s="13"/>
      <c r="E440" s="14"/>
      <c r="F440" s="13"/>
      <c r="G440" s="13"/>
      <c r="H440" s="13"/>
      <c r="I440" s="13"/>
      <c r="J440" s="13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13"/>
      <c r="BJ440" s="13"/>
      <c r="BK440" s="13"/>
      <c r="BL440" s="46"/>
      <c r="BM440" s="46"/>
      <c r="BN440" s="46"/>
      <c r="BO440" s="46"/>
      <c r="BP440" s="46"/>
      <c r="BQ440" s="46"/>
      <c r="BR440" s="34"/>
      <c r="BS440" s="34"/>
      <c r="BT440" s="34"/>
      <c r="BU440" s="34"/>
      <c r="BV440" s="34"/>
      <c r="BW440" s="34"/>
      <c r="BX440" s="34"/>
      <c r="BY440" s="4"/>
    </row>
    <row r="441" spans="1:77">
      <c r="A441" s="57"/>
      <c r="B441" s="12"/>
      <c r="C441" s="13"/>
      <c r="D441" s="13"/>
      <c r="E441" s="14"/>
      <c r="F441" s="13"/>
      <c r="G441" s="13"/>
      <c r="H441" s="13"/>
      <c r="I441" s="13"/>
      <c r="J441" s="13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13"/>
      <c r="BJ441" s="13"/>
      <c r="BK441" s="13"/>
      <c r="BL441" s="46"/>
      <c r="BM441" s="46"/>
      <c r="BN441" s="46"/>
      <c r="BO441" s="46"/>
      <c r="BP441" s="46"/>
      <c r="BQ441" s="46"/>
      <c r="BR441" s="34"/>
      <c r="BS441" s="34"/>
      <c r="BT441" s="34"/>
      <c r="BU441" s="34"/>
      <c r="BV441" s="34"/>
      <c r="BW441" s="34"/>
      <c r="BX441" s="34"/>
      <c r="BY441" s="4"/>
    </row>
    <row r="442" spans="1:77">
      <c r="A442" s="57"/>
      <c r="B442" s="12"/>
      <c r="C442" s="13"/>
      <c r="D442" s="13"/>
      <c r="E442" s="14"/>
      <c r="F442" s="13"/>
      <c r="G442" s="13"/>
      <c r="H442" s="13"/>
      <c r="I442" s="13"/>
      <c r="J442" s="13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13"/>
      <c r="BJ442" s="13"/>
      <c r="BK442" s="13"/>
      <c r="BL442" s="46"/>
      <c r="BM442" s="46"/>
      <c r="BN442" s="46"/>
      <c r="BO442" s="46"/>
      <c r="BP442" s="46"/>
      <c r="BQ442" s="46"/>
      <c r="BR442" s="34"/>
      <c r="BS442" s="34"/>
      <c r="BT442" s="34"/>
      <c r="BU442" s="34"/>
      <c r="BV442" s="34"/>
      <c r="BW442" s="34"/>
      <c r="BX442" s="34"/>
      <c r="BY442" s="4"/>
    </row>
    <row r="443" spans="1:77">
      <c r="A443" s="57"/>
      <c r="B443" s="12"/>
      <c r="C443" s="13"/>
      <c r="D443" s="13"/>
      <c r="E443" s="14"/>
      <c r="F443" s="13"/>
      <c r="G443" s="13"/>
      <c r="H443" s="13"/>
      <c r="I443" s="13"/>
      <c r="J443" s="13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13"/>
      <c r="BJ443" s="13"/>
      <c r="BK443" s="13"/>
      <c r="BL443" s="46"/>
      <c r="BM443" s="46"/>
      <c r="BN443" s="46"/>
      <c r="BO443" s="46"/>
      <c r="BP443" s="46"/>
      <c r="BQ443" s="46"/>
      <c r="BR443" s="34"/>
      <c r="BS443" s="34"/>
      <c r="BT443" s="34"/>
      <c r="BU443" s="34"/>
      <c r="BV443" s="34"/>
      <c r="BW443" s="34"/>
      <c r="BX443" s="34"/>
      <c r="BY443" s="4"/>
    </row>
    <row r="444" spans="1:77">
      <c r="A444" s="57"/>
      <c r="B444" s="13"/>
      <c r="C444" s="13"/>
      <c r="D444" s="13"/>
      <c r="E444" s="14"/>
      <c r="F444" s="13"/>
      <c r="G444" s="13"/>
      <c r="H444" s="13"/>
      <c r="I444" s="13"/>
      <c r="J444" s="13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13"/>
      <c r="BJ444" s="13"/>
      <c r="BK444" s="13"/>
      <c r="BL444" s="46"/>
      <c r="BM444" s="46"/>
      <c r="BN444" s="46"/>
      <c r="BO444" s="46"/>
      <c r="BP444" s="46"/>
      <c r="BQ444" s="46"/>
      <c r="BR444" s="34"/>
      <c r="BS444" s="34"/>
      <c r="BT444" s="34"/>
      <c r="BU444" s="34"/>
      <c r="BV444" s="34"/>
      <c r="BW444" s="34"/>
      <c r="BX444" s="34"/>
      <c r="BY444" s="4"/>
    </row>
    <row r="445" spans="1:77">
      <c r="A445" s="57"/>
      <c r="B445" s="13"/>
      <c r="C445" s="13"/>
      <c r="D445" s="13"/>
      <c r="E445" s="14"/>
      <c r="F445" s="13"/>
      <c r="G445" s="13"/>
      <c r="H445" s="13"/>
      <c r="I445" s="13"/>
      <c r="J445" s="13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13"/>
      <c r="BJ445" s="13"/>
      <c r="BK445" s="13"/>
      <c r="BL445" s="46"/>
      <c r="BM445" s="46"/>
      <c r="BN445" s="46"/>
      <c r="BO445" s="46"/>
      <c r="BP445" s="46"/>
      <c r="BQ445" s="46"/>
      <c r="BR445" s="34"/>
      <c r="BS445" s="34"/>
      <c r="BT445" s="34"/>
      <c r="BU445" s="34"/>
      <c r="BV445" s="34"/>
      <c r="BW445" s="34"/>
      <c r="BX445" s="34"/>
      <c r="BY445" s="4"/>
    </row>
    <row r="446" spans="1:77">
      <c r="A446" s="57"/>
      <c r="B446" s="13"/>
      <c r="C446" s="13"/>
      <c r="D446" s="13"/>
      <c r="E446" s="14"/>
      <c r="F446" s="13"/>
      <c r="G446" s="13"/>
      <c r="H446" s="13"/>
      <c r="I446" s="13"/>
      <c r="J446" s="13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13"/>
      <c r="BJ446" s="13"/>
      <c r="BK446" s="13"/>
      <c r="BL446" s="46"/>
      <c r="BM446" s="46"/>
      <c r="BN446" s="46"/>
      <c r="BO446" s="46"/>
      <c r="BP446" s="46"/>
      <c r="BQ446" s="46"/>
      <c r="BR446" s="34"/>
      <c r="BS446" s="34"/>
      <c r="BT446" s="34"/>
      <c r="BU446" s="34"/>
      <c r="BV446" s="34"/>
      <c r="BW446" s="34"/>
      <c r="BX446" s="34"/>
      <c r="BY446" s="4"/>
    </row>
    <row r="447" spans="1:77">
      <c r="A447" s="57"/>
      <c r="B447" s="12"/>
      <c r="C447" s="13"/>
      <c r="D447" s="13"/>
      <c r="E447" s="14"/>
      <c r="F447" s="13"/>
      <c r="G447" s="13"/>
      <c r="H447" s="13"/>
      <c r="I447" s="13"/>
      <c r="J447" s="13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13"/>
      <c r="BJ447" s="13"/>
      <c r="BK447" s="13"/>
      <c r="BL447" s="46"/>
      <c r="BM447" s="46"/>
      <c r="BN447" s="46"/>
      <c r="BO447" s="46"/>
      <c r="BP447" s="46"/>
      <c r="BQ447" s="46"/>
      <c r="BR447" s="34"/>
      <c r="BS447" s="34"/>
      <c r="BT447" s="34"/>
      <c r="BU447" s="34"/>
      <c r="BV447" s="34"/>
      <c r="BW447" s="34"/>
      <c r="BX447" s="34"/>
      <c r="BY447" s="4"/>
    </row>
    <row r="448" spans="1:77">
      <c r="A448" s="57"/>
      <c r="B448" s="12"/>
      <c r="C448" s="13"/>
      <c r="D448" s="13"/>
      <c r="E448" s="14"/>
      <c r="F448" s="13"/>
      <c r="G448" s="13"/>
      <c r="H448" s="13"/>
      <c r="I448" s="13"/>
      <c r="J448" s="13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13"/>
      <c r="BJ448" s="13"/>
      <c r="BK448" s="13"/>
      <c r="BL448" s="46"/>
      <c r="BM448" s="46"/>
      <c r="BN448" s="46"/>
      <c r="BO448" s="46"/>
      <c r="BP448" s="46"/>
      <c r="BQ448" s="46"/>
      <c r="BR448" s="34"/>
      <c r="BS448" s="34"/>
      <c r="BT448" s="34"/>
      <c r="BU448" s="34"/>
      <c r="BV448" s="34"/>
      <c r="BW448" s="34"/>
      <c r="BX448" s="34"/>
      <c r="BY448" s="4"/>
    </row>
    <row r="449" spans="1:77">
      <c r="A449" s="57"/>
      <c r="B449" s="13"/>
      <c r="C449" s="13"/>
      <c r="D449" s="13"/>
      <c r="E449" s="14"/>
      <c r="F449" s="13"/>
      <c r="G449" s="13"/>
      <c r="H449" s="13"/>
      <c r="I449" s="13"/>
      <c r="J449" s="13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13"/>
      <c r="BJ449" s="13"/>
      <c r="BK449" s="13"/>
      <c r="BL449" s="46"/>
      <c r="BM449" s="46"/>
      <c r="BN449" s="46"/>
      <c r="BO449" s="46"/>
      <c r="BP449" s="46"/>
      <c r="BQ449" s="46"/>
      <c r="BR449" s="34"/>
      <c r="BS449" s="34"/>
      <c r="BT449" s="34"/>
      <c r="BU449" s="34"/>
      <c r="BV449" s="34"/>
      <c r="BW449" s="34"/>
      <c r="BX449" s="34"/>
      <c r="BY449" s="4"/>
    </row>
    <row r="450" spans="1:77">
      <c r="A450" s="57"/>
      <c r="B450" s="12"/>
      <c r="C450" s="13"/>
      <c r="D450" s="13"/>
      <c r="E450" s="14"/>
      <c r="F450" s="13"/>
      <c r="G450" s="13"/>
      <c r="H450" s="13"/>
      <c r="I450" s="13"/>
      <c r="J450" s="13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13"/>
      <c r="BJ450" s="13"/>
      <c r="BK450" s="13"/>
      <c r="BL450" s="46"/>
      <c r="BM450" s="46"/>
      <c r="BN450" s="46"/>
      <c r="BO450" s="46"/>
      <c r="BP450" s="46"/>
      <c r="BQ450" s="46"/>
      <c r="BR450" s="34"/>
      <c r="BS450" s="34"/>
      <c r="BT450" s="34"/>
      <c r="BU450" s="34"/>
      <c r="BV450" s="34"/>
      <c r="BW450" s="34"/>
      <c r="BX450" s="34"/>
      <c r="BY450" s="4"/>
    </row>
    <row r="451" spans="1:77">
      <c r="A451" s="57"/>
      <c r="B451" s="12"/>
      <c r="C451" s="13"/>
      <c r="D451" s="13"/>
      <c r="E451" s="14"/>
      <c r="F451" s="13"/>
      <c r="G451" s="13"/>
      <c r="H451" s="13"/>
      <c r="I451" s="13"/>
      <c r="J451" s="13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13"/>
      <c r="BJ451" s="13"/>
      <c r="BK451" s="13"/>
      <c r="BL451" s="46"/>
      <c r="BM451" s="46"/>
      <c r="BN451" s="46"/>
      <c r="BO451" s="46"/>
      <c r="BP451" s="46"/>
      <c r="BQ451" s="46"/>
      <c r="BR451" s="34"/>
      <c r="BS451" s="34"/>
      <c r="BT451" s="34"/>
      <c r="BU451" s="34"/>
      <c r="BV451" s="34"/>
      <c r="BW451" s="34"/>
      <c r="BX451" s="34"/>
      <c r="BY451" s="4"/>
    </row>
    <row r="452" spans="1:77">
      <c r="A452" s="57"/>
      <c r="B452" s="12"/>
      <c r="C452" s="13"/>
      <c r="D452" s="13"/>
      <c r="E452" s="14"/>
      <c r="F452" s="13"/>
      <c r="G452" s="13"/>
      <c r="H452" s="13"/>
      <c r="I452" s="13"/>
      <c r="J452" s="13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13"/>
      <c r="BJ452" s="13"/>
      <c r="BK452" s="13"/>
      <c r="BL452" s="46"/>
      <c r="BM452" s="46"/>
      <c r="BN452" s="46"/>
      <c r="BO452" s="46"/>
      <c r="BP452" s="46"/>
      <c r="BQ452" s="46"/>
      <c r="BR452" s="34"/>
      <c r="BS452" s="34"/>
      <c r="BT452" s="34"/>
      <c r="BU452" s="34"/>
      <c r="BV452" s="34"/>
      <c r="BW452" s="34"/>
      <c r="BX452" s="34"/>
      <c r="BY452" s="4"/>
    </row>
    <row r="453" spans="1:77">
      <c r="A453" s="57"/>
      <c r="B453" s="13"/>
      <c r="C453" s="13"/>
      <c r="D453" s="13"/>
      <c r="E453" s="14"/>
      <c r="F453" s="13"/>
      <c r="G453" s="13"/>
      <c r="H453" s="13"/>
      <c r="I453" s="13"/>
      <c r="J453" s="13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13"/>
      <c r="BJ453" s="13"/>
      <c r="BK453" s="13"/>
      <c r="BL453" s="46"/>
      <c r="BM453" s="46"/>
      <c r="BN453" s="46"/>
      <c r="BO453" s="46"/>
      <c r="BP453" s="46"/>
      <c r="BQ453" s="46"/>
      <c r="BR453" s="34"/>
      <c r="BS453" s="34"/>
      <c r="BT453" s="34"/>
      <c r="BU453" s="34"/>
      <c r="BV453" s="34"/>
      <c r="BW453" s="34"/>
      <c r="BX453" s="34"/>
      <c r="BY453" s="4"/>
    </row>
    <row r="454" spans="1:77">
      <c r="A454" s="57"/>
      <c r="B454" s="13"/>
      <c r="C454" s="13"/>
      <c r="D454" s="13"/>
      <c r="E454" s="14"/>
      <c r="F454" s="13"/>
      <c r="G454" s="13"/>
      <c r="H454" s="13"/>
      <c r="I454" s="13"/>
      <c r="J454" s="13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13"/>
      <c r="BJ454" s="13"/>
      <c r="BK454" s="13"/>
      <c r="BL454" s="46"/>
      <c r="BM454" s="46"/>
      <c r="BN454" s="46"/>
      <c r="BO454" s="46"/>
      <c r="BP454" s="46"/>
      <c r="BQ454" s="46"/>
      <c r="BR454" s="34"/>
      <c r="BS454" s="34"/>
      <c r="BT454" s="34"/>
      <c r="BU454" s="34"/>
      <c r="BV454" s="34"/>
      <c r="BW454" s="34"/>
      <c r="BX454" s="34"/>
      <c r="BY454" s="4"/>
    </row>
    <row r="455" spans="1:77">
      <c r="A455" s="57"/>
      <c r="B455" s="16"/>
      <c r="C455" s="16"/>
      <c r="D455" s="16"/>
      <c r="E455" s="17"/>
      <c r="F455" s="16"/>
      <c r="G455" s="16"/>
      <c r="H455" s="16"/>
      <c r="I455" s="16"/>
      <c r="J455" s="1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5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16"/>
      <c r="BJ455" s="16"/>
      <c r="BK455" s="16"/>
      <c r="BL455" s="48"/>
      <c r="BM455" s="48"/>
      <c r="BN455" s="48"/>
      <c r="BO455" s="48"/>
      <c r="BP455" s="48"/>
      <c r="BQ455" s="48"/>
      <c r="BR455" s="36"/>
      <c r="BS455" s="36"/>
      <c r="BT455" s="36"/>
      <c r="BU455" s="36"/>
      <c r="BV455" s="36"/>
      <c r="BW455" s="36"/>
      <c r="BX455" s="36"/>
      <c r="BY455" s="6"/>
    </row>
    <row r="456" spans="1:77">
      <c r="A456" s="57"/>
      <c r="B456" s="19"/>
      <c r="C456" s="16"/>
      <c r="D456" s="16"/>
      <c r="E456" s="17"/>
      <c r="F456" s="16"/>
      <c r="G456" s="16"/>
      <c r="H456" s="16"/>
      <c r="I456" s="16"/>
      <c r="J456" s="1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5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16"/>
      <c r="BJ456" s="16"/>
      <c r="BK456" s="16"/>
      <c r="BL456" s="48"/>
      <c r="BM456" s="48"/>
      <c r="BN456" s="48"/>
      <c r="BO456" s="48"/>
      <c r="BP456" s="48"/>
      <c r="BQ456" s="48"/>
      <c r="BR456" s="36"/>
      <c r="BS456" s="36"/>
      <c r="BT456" s="36"/>
      <c r="BU456" s="36"/>
      <c r="BV456" s="36"/>
      <c r="BW456" s="36"/>
      <c r="BX456" s="36"/>
      <c r="BY456" s="6"/>
    </row>
    <row r="457" spans="1:77">
      <c r="A457" s="57"/>
      <c r="B457" s="16"/>
      <c r="C457" s="16"/>
      <c r="D457" s="16"/>
      <c r="E457" s="17"/>
      <c r="F457" s="16"/>
      <c r="G457" s="16"/>
      <c r="H457" s="16"/>
      <c r="I457" s="16"/>
      <c r="J457" s="1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5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16"/>
      <c r="BJ457" s="16"/>
      <c r="BK457" s="16"/>
      <c r="BL457" s="48"/>
      <c r="BM457" s="48"/>
      <c r="BN457" s="48"/>
      <c r="BO457" s="48"/>
      <c r="BP457" s="48"/>
      <c r="BQ457" s="48"/>
      <c r="BR457" s="36"/>
      <c r="BS457" s="36"/>
      <c r="BT457" s="36"/>
      <c r="BU457" s="36"/>
      <c r="BV457" s="36"/>
      <c r="BW457" s="36"/>
      <c r="BX457" s="36"/>
      <c r="BY457" s="6"/>
    </row>
    <row r="458" spans="1:77">
      <c r="A458" s="57"/>
      <c r="B458" s="16"/>
      <c r="C458" s="16"/>
      <c r="D458" s="16"/>
      <c r="E458" s="17"/>
      <c r="F458" s="16"/>
      <c r="G458" s="16"/>
      <c r="H458" s="16"/>
      <c r="I458" s="16"/>
      <c r="J458" s="1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5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16"/>
      <c r="BJ458" s="16"/>
      <c r="BK458" s="16"/>
      <c r="BL458" s="48"/>
      <c r="BM458" s="48"/>
      <c r="BN458" s="48"/>
      <c r="BO458" s="48"/>
      <c r="BP458" s="48"/>
      <c r="BQ458" s="48"/>
      <c r="BR458" s="36"/>
      <c r="BS458" s="36"/>
      <c r="BT458" s="36"/>
      <c r="BU458" s="36"/>
      <c r="BV458" s="36"/>
      <c r="BW458" s="36"/>
      <c r="BX458" s="36"/>
      <c r="BY458" s="6"/>
    </row>
    <row r="459" spans="1:77">
      <c r="A459" s="57"/>
      <c r="B459" s="16"/>
      <c r="C459" s="16"/>
      <c r="D459" s="16"/>
      <c r="E459" s="17"/>
      <c r="F459" s="16"/>
      <c r="G459" s="16"/>
      <c r="H459" s="16"/>
      <c r="I459" s="16"/>
      <c r="J459" s="1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5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16"/>
      <c r="BJ459" s="16"/>
      <c r="BK459" s="16"/>
      <c r="BL459" s="48"/>
      <c r="BM459" s="48"/>
      <c r="BN459" s="48"/>
      <c r="BO459" s="48"/>
      <c r="BP459" s="48"/>
      <c r="BQ459" s="48"/>
      <c r="BR459" s="36"/>
      <c r="BS459" s="36"/>
      <c r="BT459" s="36"/>
      <c r="BU459" s="36"/>
      <c r="BV459" s="36"/>
      <c r="BW459" s="36"/>
      <c r="BX459" s="36"/>
      <c r="BY459" s="6"/>
    </row>
    <row r="460" spans="1:77">
      <c r="A460" s="57"/>
      <c r="B460" s="16"/>
      <c r="C460" s="16"/>
      <c r="D460" s="16"/>
      <c r="E460" s="17"/>
      <c r="F460" s="16"/>
      <c r="G460" s="16"/>
      <c r="H460" s="16"/>
      <c r="I460" s="16"/>
      <c r="J460" s="1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5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16"/>
      <c r="BJ460" s="16"/>
      <c r="BK460" s="16"/>
      <c r="BL460" s="48"/>
      <c r="BM460" s="48"/>
      <c r="BN460" s="48"/>
      <c r="BO460" s="48"/>
      <c r="BP460" s="48"/>
      <c r="BQ460" s="48"/>
      <c r="BR460" s="36"/>
      <c r="BS460" s="36"/>
      <c r="BT460" s="36"/>
      <c r="BU460" s="36"/>
      <c r="BV460" s="36"/>
      <c r="BW460" s="36"/>
      <c r="BX460" s="36"/>
      <c r="BY460" s="6"/>
    </row>
    <row r="461" spans="1:77">
      <c r="A461" s="57"/>
      <c r="B461" s="16"/>
      <c r="C461" s="16"/>
      <c r="D461" s="16"/>
      <c r="E461" s="17"/>
      <c r="F461" s="16"/>
      <c r="G461" s="16"/>
      <c r="H461" s="16"/>
      <c r="I461" s="16"/>
      <c r="J461" s="1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5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16"/>
      <c r="BJ461" s="16"/>
      <c r="BK461" s="16"/>
      <c r="BL461" s="48"/>
      <c r="BM461" s="48"/>
      <c r="BN461" s="48"/>
      <c r="BO461" s="48"/>
      <c r="BP461" s="48"/>
      <c r="BQ461" s="48"/>
      <c r="BR461" s="36"/>
      <c r="BS461" s="36"/>
      <c r="BT461" s="36"/>
      <c r="BU461" s="36"/>
      <c r="BV461" s="36"/>
      <c r="BW461" s="36"/>
      <c r="BX461" s="36"/>
      <c r="BY461" s="6"/>
    </row>
    <row r="462" spans="1:77">
      <c r="A462" s="57"/>
      <c r="B462" s="16"/>
      <c r="C462" s="16"/>
      <c r="D462" s="16"/>
      <c r="E462" s="17"/>
      <c r="F462" s="16"/>
      <c r="G462" s="16"/>
      <c r="H462" s="16"/>
      <c r="I462" s="16"/>
      <c r="J462" s="1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5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16"/>
      <c r="BJ462" s="16"/>
      <c r="BK462" s="16"/>
      <c r="BL462" s="48"/>
      <c r="BM462" s="48"/>
      <c r="BN462" s="48"/>
      <c r="BO462" s="48"/>
      <c r="BP462" s="48"/>
      <c r="BQ462" s="48"/>
      <c r="BR462" s="36"/>
      <c r="BS462" s="36"/>
      <c r="BT462" s="36"/>
      <c r="BU462" s="36"/>
      <c r="BV462" s="36"/>
      <c r="BW462" s="36"/>
      <c r="BX462" s="36"/>
      <c r="BY462" s="6"/>
    </row>
    <row r="463" spans="1:77">
      <c r="A463" s="57"/>
      <c r="B463" s="16"/>
      <c r="C463" s="16"/>
      <c r="D463" s="16"/>
      <c r="E463" s="17"/>
      <c r="F463" s="16"/>
      <c r="G463" s="16"/>
      <c r="H463" s="16"/>
      <c r="I463" s="16"/>
      <c r="J463" s="1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5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16"/>
      <c r="BJ463" s="16"/>
      <c r="BK463" s="16"/>
      <c r="BL463" s="48"/>
      <c r="BM463" s="48"/>
      <c r="BN463" s="48"/>
      <c r="BO463" s="48"/>
      <c r="BP463" s="48"/>
      <c r="BQ463" s="48"/>
      <c r="BR463" s="36"/>
      <c r="BS463" s="36"/>
      <c r="BT463" s="36"/>
      <c r="BU463" s="36"/>
      <c r="BV463" s="36"/>
      <c r="BW463" s="36"/>
      <c r="BX463" s="36"/>
      <c r="BY463" s="6"/>
    </row>
    <row r="464" spans="1:77">
      <c r="A464" s="57"/>
      <c r="B464" s="16"/>
      <c r="C464" s="16"/>
      <c r="D464" s="16"/>
      <c r="E464" s="17"/>
      <c r="F464" s="16"/>
      <c r="G464" s="16"/>
      <c r="H464" s="16"/>
      <c r="I464" s="16"/>
      <c r="J464" s="1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5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16"/>
      <c r="BJ464" s="16"/>
      <c r="BK464" s="16"/>
      <c r="BL464" s="48"/>
      <c r="BM464" s="48"/>
      <c r="BN464" s="48"/>
      <c r="BO464" s="48"/>
      <c r="BP464" s="48"/>
      <c r="BQ464" s="48"/>
      <c r="BR464" s="36"/>
      <c r="BS464" s="36"/>
      <c r="BT464" s="36"/>
      <c r="BU464" s="36"/>
      <c r="BV464" s="36"/>
      <c r="BW464" s="36"/>
      <c r="BX464" s="36"/>
      <c r="BY464" s="6"/>
    </row>
    <row r="465" spans="1:77">
      <c r="A465" s="57"/>
      <c r="B465" s="16"/>
      <c r="C465" s="16"/>
      <c r="D465" s="16"/>
      <c r="E465" s="17"/>
      <c r="F465" s="16"/>
      <c r="G465" s="16"/>
      <c r="H465" s="16"/>
      <c r="I465" s="16"/>
      <c r="J465" s="1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5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16"/>
      <c r="BJ465" s="16"/>
      <c r="BK465" s="16"/>
      <c r="BL465" s="48"/>
      <c r="BM465" s="48"/>
      <c r="BN465" s="48"/>
      <c r="BO465" s="48"/>
      <c r="BP465" s="48"/>
      <c r="BQ465" s="48"/>
      <c r="BR465" s="36"/>
      <c r="BS465" s="36"/>
      <c r="BT465" s="36"/>
      <c r="BU465" s="36"/>
      <c r="BV465" s="36"/>
      <c r="BW465" s="36"/>
      <c r="BX465" s="36"/>
      <c r="BY465" s="6"/>
    </row>
    <row r="466" spans="1:77">
      <c r="A466" s="1" t="s">
        <v>76</v>
      </c>
      <c r="B466" s="13"/>
      <c r="C466" s="13"/>
      <c r="D466" s="13"/>
      <c r="E466" s="14">
        <f>SUM(E373:E465)</f>
        <v>0</v>
      </c>
      <c r="F466" s="13"/>
      <c r="G466" s="13">
        <f t="shared" ref="G466:N466" si="15">SUM(G373:G465)</f>
        <v>0</v>
      </c>
      <c r="H466" s="13">
        <f t="shared" si="15"/>
        <v>0</v>
      </c>
      <c r="I466" s="13">
        <f t="shared" si="15"/>
        <v>0</v>
      </c>
      <c r="J466" s="13">
        <f t="shared" si="15"/>
        <v>0</v>
      </c>
      <c r="K466" s="34">
        <f t="shared" si="15"/>
        <v>0</v>
      </c>
      <c r="L466" s="34">
        <f t="shared" si="15"/>
        <v>0</v>
      </c>
      <c r="M466" s="34">
        <f t="shared" si="15"/>
        <v>0</v>
      </c>
      <c r="N466" s="34">
        <f t="shared" si="15"/>
        <v>0</v>
      </c>
      <c r="O466" s="34"/>
      <c r="P466" s="34">
        <f t="shared" ref="P466:U466" si="16">SUM(P373:P465)</f>
        <v>0</v>
      </c>
      <c r="Q466" s="34">
        <f t="shared" si="16"/>
        <v>0</v>
      </c>
      <c r="R466" s="34">
        <f t="shared" si="16"/>
        <v>0</v>
      </c>
      <c r="S466" s="34">
        <f t="shared" si="16"/>
        <v>0</v>
      </c>
      <c r="T466" s="34">
        <f t="shared" si="16"/>
        <v>0</v>
      </c>
      <c r="U466" s="34">
        <f t="shared" si="16"/>
        <v>0</v>
      </c>
      <c r="V466" s="34"/>
      <c r="W466" s="34">
        <f t="shared" ref="W466:BB466" si="17">SUM(W373:W465)</f>
        <v>0</v>
      </c>
      <c r="X466" s="3">
        <f t="shared" si="17"/>
        <v>0</v>
      </c>
      <c r="Y466" s="39">
        <f t="shared" si="17"/>
        <v>0</v>
      </c>
      <c r="Z466" s="39">
        <f t="shared" si="17"/>
        <v>0</v>
      </c>
      <c r="AA466" s="39">
        <f t="shared" si="17"/>
        <v>0</v>
      </c>
      <c r="AB466" s="39">
        <f t="shared" si="17"/>
        <v>0</v>
      </c>
      <c r="AC466" s="39">
        <f t="shared" si="17"/>
        <v>0</v>
      </c>
      <c r="AD466" s="39">
        <f t="shared" si="17"/>
        <v>0</v>
      </c>
      <c r="AE466" s="39">
        <f t="shared" si="17"/>
        <v>0</v>
      </c>
      <c r="AF466" s="39">
        <f t="shared" si="17"/>
        <v>0</v>
      </c>
      <c r="AG466" s="39">
        <f t="shared" si="17"/>
        <v>0</v>
      </c>
      <c r="AH466" s="39">
        <f t="shared" si="17"/>
        <v>0</v>
      </c>
      <c r="AI466" s="39">
        <f t="shared" si="17"/>
        <v>0</v>
      </c>
      <c r="AJ466" s="39">
        <f t="shared" si="17"/>
        <v>0</v>
      </c>
      <c r="AK466" s="39">
        <f t="shared" si="17"/>
        <v>0</v>
      </c>
      <c r="AL466" s="39">
        <f t="shared" si="17"/>
        <v>0</v>
      </c>
      <c r="AM466" s="28">
        <f t="shared" si="17"/>
        <v>0</v>
      </c>
      <c r="AN466" s="28">
        <f t="shared" si="17"/>
        <v>0</v>
      </c>
      <c r="AO466" s="28">
        <f t="shared" si="17"/>
        <v>0</v>
      </c>
      <c r="AP466" s="28">
        <f t="shared" si="17"/>
        <v>0</v>
      </c>
      <c r="AQ466" s="28">
        <f t="shared" si="17"/>
        <v>0</v>
      </c>
      <c r="AR466" s="28">
        <f t="shared" si="17"/>
        <v>0</v>
      </c>
      <c r="AS466" s="28">
        <f t="shared" si="17"/>
        <v>0</v>
      </c>
      <c r="AT466" s="28">
        <f t="shared" si="17"/>
        <v>0</v>
      </c>
      <c r="AU466" s="28">
        <f t="shared" si="17"/>
        <v>0</v>
      </c>
      <c r="AV466" s="28">
        <f t="shared" si="17"/>
        <v>0</v>
      </c>
      <c r="AW466" s="28">
        <f t="shared" si="17"/>
        <v>0</v>
      </c>
      <c r="AX466" s="43">
        <f t="shared" si="17"/>
        <v>0</v>
      </c>
      <c r="AY466" s="43">
        <f t="shared" si="17"/>
        <v>0</v>
      </c>
      <c r="AZ466" s="43">
        <f t="shared" si="17"/>
        <v>0</v>
      </c>
      <c r="BA466" s="43">
        <f t="shared" si="17"/>
        <v>0</v>
      </c>
      <c r="BB466" s="43">
        <f t="shared" si="17"/>
        <v>0</v>
      </c>
      <c r="BC466" s="43">
        <f t="shared" ref="BC466:BW466" si="18">SUM(BC373:BC465)</f>
        <v>0</v>
      </c>
      <c r="BD466" s="43">
        <f t="shared" si="18"/>
        <v>0</v>
      </c>
      <c r="BE466" s="43">
        <f t="shared" si="18"/>
        <v>0</v>
      </c>
      <c r="BF466" s="43">
        <f t="shared" si="18"/>
        <v>0</v>
      </c>
      <c r="BG466" s="43">
        <f t="shared" si="18"/>
        <v>0</v>
      </c>
      <c r="BH466" s="43">
        <f t="shared" si="18"/>
        <v>0</v>
      </c>
      <c r="BI466" s="13">
        <f t="shared" si="18"/>
        <v>0</v>
      </c>
      <c r="BJ466" s="13">
        <f t="shared" si="18"/>
        <v>0</v>
      </c>
      <c r="BK466" s="13">
        <f t="shared" si="18"/>
        <v>0</v>
      </c>
      <c r="BL466" s="46">
        <f t="shared" si="18"/>
        <v>0</v>
      </c>
      <c r="BM466" s="46">
        <f t="shared" si="18"/>
        <v>0</v>
      </c>
      <c r="BN466" s="46">
        <f t="shared" si="18"/>
        <v>0</v>
      </c>
      <c r="BO466" s="46">
        <f t="shared" si="18"/>
        <v>0</v>
      </c>
      <c r="BP466" s="46">
        <f t="shared" si="18"/>
        <v>0</v>
      </c>
      <c r="BQ466" s="46">
        <f t="shared" si="18"/>
        <v>0</v>
      </c>
      <c r="BR466" s="34">
        <f t="shared" si="18"/>
        <v>0</v>
      </c>
      <c r="BS466" s="34">
        <f t="shared" si="18"/>
        <v>0</v>
      </c>
      <c r="BT466" s="34">
        <f t="shared" si="18"/>
        <v>0</v>
      </c>
      <c r="BU466" s="34">
        <f t="shared" si="18"/>
        <v>0</v>
      </c>
      <c r="BV466" s="34">
        <f t="shared" si="18"/>
        <v>0</v>
      </c>
      <c r="BW466" s="34">
        <f t="shared" si="18"/>
        <v>0</v>
      </c>
      <c r="BX466" s="34"/>
      <c r="BY466" s="4"/>
    </row>
    <row r="467" spans="1:77">
      <c r="B467" s="18"/>
      <c r="C467" s="18"/>
      <c r="D467" s="18"/>
      <c r="E467" s="18"/>
      <c r="F467" s="18"/>
      <c r="G467" s="18"/>
      <c r="H467" s="18"/>
      <c r="I467" s="18"/>
      <c r="J467" s="18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18"/>
      <c r="BJ467" s="18"/>
      <c r="BK467" s="18"/>
      <c r="BL467" s="47"/>
      <c r="BM467" s="47"/>
      <c r="BN467" s="47"/>
      <c r="BO467" s="47"/>
      <c r="BP467" s="47"/>
      <c r="BQ467" s="47"/>
      <c r="BR467" s="35"/>
      <c r="BS467" s="35"/>
      <c r="BT467" s="35"/>
      <c r="BU467" s="35"/>
      <c r="BV467" s="35"/>
      <c r="BW467" s="35"/>
      <c r="BX467" s="35"/>
    </row>
    <row r="468" spans="1:77" ht="159.6">
      <c r="A468" s="2" t="s">
        <v>77</v>
      </c>
      <c r="B468" s="11" t="s">
        <v>1</v>
      </c>
      <c r="C468" s="11" t="s">
        <v>2</v>
      </c>
      <c r="D468" s="11" t="s">
        <v>3</v>
      </c>
      <c r="E468" s="11" t="s">
        <v>4</v>
      </c>
      <c r="F468" s="11" t="s">
        <v>5</v>
      </c>
      <c r="G468" s="11" t="s">
        <v>6</v>
      </c>
      <c r="H468" s="11" t="s">
        <v>7</v>
      </c>
      <c r="I468" s="11" t="s">
        <v>8</v>
      </c>
      <c r="J468" s="11" t="s">
        <v>84</v>
      </c>
      <c r="K468" s="33" t="s">
        <v>10</v>
      </c>
      <c r="L468" s="33" t="s">
        <v>11</v>
      </c>
      <c r="M468" s="33" t="s">
        <v>12</v>
      </c>
      <c r="N468" s="33" t="s">
        <v>13</v>
      </c>
      <c r="O468" s="33" t="s">
        <v>14</v>
      </c>
      <c r="P468" s="33" t="s">
        <v>15</v>
      </c>
      <c r="Q468" s="33" t="s">
        <v>16</v>
      </c>
      <c r="R468" s="33" t="s">
        <v>17</v>
      </c>
      <c r="S468" s="33" t="s">
        <v>18</v>
      </c>
      <c r="T468" s="33" t="s">
        <v>79</v>
      </c>
      <c r="U468" s="33" t="s">
        <v>20</v>
      </c>
      <c r="V468" s="33" t="s">
        <v>21</v>
      </c>
      <c r="W468" s="33" t="s">
        <v>92</v>
      </c>
      <c r="X468" s="9"/>
      <c r="Y468" s="38" t="s">
        <v>24</v>
      </c>
      <c r="Z468" s="38" t="s">
        <v>25</v>
      </c>
      <c r="AA468" s="38" t="s">
        <v>26</v>
      </c>
      <c r="AB468" s="38" t="s">
        <v>93</v>
      </c>
      <c r="AC468" s="38" t="s">
        <v>28</v>
      </c>
      <c r="AD468" s="38" t="s">
        <v>29</v>
      </c>
      <c r="AE468" s="38" t="s">
        <v>30</v>
      </c>
      <c r="AF468" s="38" t="s">
        <v>31</v>
      </c>
      <c r="AG468" s="38" t="s">
        <v>32</v>
      </c>
      <c r="AH468" s="38" t="s">
        <v>33</v>
      </c>
      <c r="AI468" s="38" t="s">
        <v>34</v>
      </c>
      <c r="AJ468" s="38" t="s">
        <v>35</v>
      </c>
      <c r="AK468" s="38" t="s">
        <v>36</v>
      </c>
      <c r="AL468" s="38" t="s">
        <v>37</v>
      </c>
      <c r="AM468" s="27" t="s">
        <v>38</v>
      </c>
      <c r="AN468" s="27" t="s">
        <v>39</v>
      </c>
      <c r="AO468" s="27" t="s">
        <v>40</v>
      </c>
      <c r="AP468" s="27" t="s">
        <v>41</v>
      </c>
      <c r="AQ468" s="27" t="s">
        <v>42</v>
      </c>
      <c r="AR468" s="27" t="s">
        <v>43</v>
      </c>
      <c r="AS468" s="27" t="s">
        <v>44</v>
      </c>
      <c r="AT468" s="27" t="s">
        <v>45</v>
      </c>
      <c r="AU468" s="27" t="s">
        <v>46</v>
      </c>
      <c r="AV468" s="27" t="s">
        <v>47</v>
      </c>
      <c r="AW468" s="27" t="s">
        <v>37</v>
      </c>
      <c r="AX468" s="42" t="s">
        <v>48</v>
      </c>
      <c r="AY468" s="42" t="s">
        <v>49</v>
      </c>
      <c r="AZ468" s="42" t="s">
        <v>50</v>
      </c>
      <c r="BA468" s="42" t="s">
        <v>51</v>
      </c>
      <c r="BB468" s="42" t="s">
        <v>52</v>
      </c>
      <c r="BC468" s="42" t="s">
        <v>53</v>
      </c>
      <c r="BD468" s="42" t="s">
        <v>54</v>
      </c>
      <c r="BE468" s="42" t="s">
        <v>55</v>
      </c>
      <c r="BF468" s="42" t="s">
        <v>56</v>
      </c>
      <c r="BG468" s="42" t="s">
        <v>57</v>
      </c>
      <c r="BH468" s="42" t="s">
        <v>58</v>
      </c>
      <c r="BI468" s="11" t="s">
        <v>28</v>
      </c>
      <c r="BJ468" s="11" t="s">
        <v>59</v>
      </c>
      <c r="BK468" s="11" t="s">
        <v>60</v>
      </c>
      <c r="BL468" s="32" t="s">
        <v>61</v>
      </c>
      <c r="BM468" s="32" t="s">
        <v>62</v>
      </c>
      <c r="BN468" s="32" t="s">
        <v>63</v>
      </c>
      <c r="BO468" s="32" t="s">
        <v>64</v>
      </c>
      <c r="BP468" s="32" t="s">
        <v>65</v>
      </c>
      <c r="BQ468" s="32" t="s">
        <v>66</v>
      </c>
      <c r="BR468" s="33" t="s">
        <v>67</v>
      </c>
      <c r="BS468" s="33" t="s">
        <v>68</v>
      </c>
      <c r="BT468" s="33" t="s">
        <v>69</v>
      </c>
      <c r="BU468" s="33" t="s">
        <v>70</v>
      </c>
      <c r="BV468" s="33" t="s">
        <v>71</v>
      </c>
      <c r="BW468" s="33" t="s">
        <v>82</v>
      </c>
      <c r="BX468" s="33" t="s">
        <v>73</v>
      </c>
      <c r="BY468" s="10" t="s">
        <v>74</v>
      </c>
    </row>
    <row r="469" spans="1:77">
      <c r="A469" s="57" t="s">
        <v>94</v>
      </c>
      <c r="B469" s="12"/>
      <c r="C469" s="13"/>
      <c r="D469" s="13"/>
      <c r="E469" s="14"/>
      <c r="F469" s="13"/>
      <c r="G469" s="13"/>
      <c r="H469" s="13"/>
      <c r="I469" s="13"/>
      <c r="J469" s="13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13"/>
      <c r="BJ469" s="13"/>
      <c r="BK469" s="13"/>
      <c r="BL469" s="46"/>
      <c r="BM469" s="46"/>
      <c r="BN469" s="46"/>
      <c r="BO469" s="46"/>
      <c r="BP469" s="46"/>
      <c r="BQ469" s="46"/>
      <c r="BR469" s="34"/>
      <c r="BS469" s="34"/>
      <c r="BT469" s="34"/>
      <c r="BU469" s="34"/>
      <c r="BV469" s="34"/>
      <c r="BW469" s="34"/>
      <c r="BX469" s="34"/>
      <c r="BY469" s="4"/>
    </row>
    <row r="470" spans="1:77">
      <c r="A470" s="57"/>
      <c r="B470" s="12"/>
      <c r="C470" s="13"/>
      <c r="D470" s="13"/>
      <c r="E470" s="14"/>
      <c r="F470" s="13"/>
      <c r="G470" s="13"/>
      <c r="H470" s="13"/>
      <c r="I470" s="13"/>
      <c r="J470" s="13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13"/>
      <c r="BJ470" s="13"/>
      <c r="BK470" s="13"/>
      <c r="BL470" s="46"/>
      <c r="BM470" s="46"/>
      <c r="BN470" s="46"/>
      <c r="BO470" s="46"/>
      <c r="BP470" s="46"/>
      <c r="BQ470" s="46"/>
      <c r="BR470" s="34"/>
      <c r="BS470" s="34"/>
      <c r="BT470" s="34"/>
      <c r="BU470" s="34"/>
      <c r="BV470" s="34"/>
      <c r="BW470" s="34"/>
      <c r="BX470" s="34"/>
      <c r="BY470" s="4"/>
    </row>
    <row r="471" spans="1:77">
      <c r="A471" s="57"/>
      <c r="B471" s="12"/>
      <c r="C471" s="13"/>
      <c r="D471" s="13"/>
      <c r="E471" s="14"/>
      <c r="F471" s="13"/>
      <c r="G471" s="13"/>
      <c r="H471" s="13"/>
      <c r="I471" s="13"/>
      <c r="J471" s="13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13"/>
      <c r="BJ471" s="13"/>
      <c r="BK471" s="13"/>
      <c r="BL471" s="46"/>
      <c r="BM471" s="46"/>
      <c r="BN471" s="46"/>
      <c r="BO471" s="46"/>
      <c r="BP471" s="46"/>
      <c r="BQ471" s="46"/>
      <c r="BR471" s="34"/>
      <c r="BS471" s="34"/>
      <c r="BT471" s="34"/>
      <c r="BU471" s="34"/>
      <c r="BV471" s="34"/>
      <c r="BW471" s="34"/>
      <c r="BX471" s="34"/>
      <c r="BY471" s="4"/>
    </row>
    <row r="472" spans="1:77">
      <c r="A472" s="57"/>
      <c r="B472" s="12"/>
      <c r="C472" s="13"/>
      <c r="D472" s="13"/>
      <c r="E472" s="14"/>
      <c r="F472" s="13"/>
      <c r="G472" s="13"/>
      <c r="H472" s="13"/>
      <c r="I472" s="13"/>
      <c r="J472" s="13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13"/>
      <c r="BJ472" s="13"/>
      <c r="BK472" s="13"/>
      <c r="BL472" s="46"/>
      <c r="BM472" s="46"/>
      <c r="BN472" s="46"/>
      <c r="BO472" s="46"/>
      <c r="BP472" s="46"/>
      <c r="BQ472" s="46"/>
      <c r="BR472" s="34"/>
      <c r="BS472" s="34"/>
      <c r="BT472" s="34"/>
      <c r="BU472" s="34"/>
      <c r="BV472" s="34"/>
      <c r="BW472" s="34"/>
      <c r="BX472" s="34"/>
      <c r="BY472" s="4"/>
    </row>
    <row r="473" spans="1:77">
      <c r="A473" s="57"/>
      <c r="B473" s="12"/>
      <c r="C473" s="13"/>
      <c r="D473" s="13"/>
      <c r="E473" s="14"/>
      <c r="F473" s="13"/>
      <c r="G473" s="13"/>
      <c r="H473" s="13"/>
      <c r="I473" s="13"/>
      <c r="J473" s="13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13"/>
      <c r="BJ473" s="13"/>
      <c r="BK473" s="13"/>
      <c r="BL473" s="46"/>
      <c r="BM473" s="46"/>
      <c r="BN473" s="46"/>
      <c r="BO473" s="46"/>
      <c r="BP473" s="46"/>
      <c r="BQ473" s="46"/>
      <c r="BR473" s="34"/>
      <c r="BS473" s="34"/>
      <c r="BT473" s="34"/>
      <c r="BU473" s="34"/>
      <c r="BV473" s="34"/>
      <c r="BW473" s="34"/>
      <c r="BX473" s="34"/>
      <c r="BY473" s="4"/>
    </row>
    <row r="474" spans="1:77">
      <c r="A474" s="57"/>
      <c r="B474" s="12"/>
      <c r="C474" s="13"/>
      <c r="D474" s="13"/>
      <c r="E474" s="14"/>
      <c r="F474" s="13"/>
      <c r="G474" s="13"/>
      <c r="H474" s="13"/>
      <c r="I474" s="13"/>
      <c r="J474" s="13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13"/>
      <c r="BJ474" s="13"/>
      <c r="BK474" s="13"/>
      <c r="BL474" s="46"/>
      <c r="BM474" s="46"/>
      <c r="BN474" s="46"/>
      <c r="BO474" s="46"/>
      <c r="BP474" s="46"/>
      <c r="BQ474" s="46"/>
      <c r="BR474" s="34"/>
      <c r="BS474" s="34"/>
      <c r="BT474" s="34"/>
      <c r="BU474" s="34"/>
      <c r="BV474" s="34"/>
      <c r="BW474" s="34"/>
      <c r="BX474" s="34"/>
      <c r="BY474" s="4"/>
    </row>
    <row r="475" spans="1:77">
      <c r="A475" s="57"/>
      <c r="B475" s="12"/>
      <c r="C475" s="13"/>
      <c r="D475" s="13"/>
      <c r="E475" s="14"/>
      <c r="F475" s="13"/>
      <c r="G475" s="13"/>
      <c r="H475" s="13"/>
      <c r="I475" s="13"/>
      <c r="J475" s="13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13"/>
      <c r="BJ475" s="13"/>
      <c r="BK475" s="13"/>
      <c r="BL475" s="46"/>
      <c r="BM475" s="46"/>
      <c r="BN475" s="46"/>
      <c r="BO475" s="46"/>
      <c r="BP475" s="46"/>
      <c r="BQ475" s="46"/>
      <c r="BR475" s="34"/>
      <c r="BS475" s="34"/>
      <c r="BT475" s="34"/>
      <c r="BU475" s="34"/>
      <c r="BV475" s="34"/>
      <c r="BW475" s="34"/>
      <c r="BX475" s="34"/>
      <c r="BY475" s="4"/>
    </row>
    <row r="476" spans="1:77">
      <c r="A476" s="57"/>
      <c r="B476" s="12"/>
      <c r="C476" s="13"/>
      <c r="D476" s="13"/>
      <c r="E476" s="14"/>
      <c r="F476" s="13"/>
      <c r="G476" s="13"/>
      <c r="H476" s="13"/>
      <c r="I476" s="13"/>
      <c r="J476" s="13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13"/>
      <c r="BJ476" s="13"/>
      <c r="BK476" s="13"/>
      <c r="BL476" s="46"/>
      <c r="BM476" s="46"/>
      <c r="BN476" s="46"/>
      <c r="BO476" s="46"/>
      <c r="BP476" s="46"/>
      <c r="BQ476" s="46"/>
      <c r="BR476" s="34"/>
      <c r="BS476" s="34"/>
      <c r="BT476" s="34"/>
      <c r="BU476" s="34"/>
      <c r="BV476" s="34"/>
      <c r="BW476" s="34"/>
      <c r="BX476" s="34"/>
      <c r="BY476" s="4"/>
    </row>
    <row r="477" spans="1:77">
      <c r="A477" s="57"/>
      <c r="B477" s="12"/>
      <c r="C477" s="13"/>
      <c r="D477" s="13"/>
      <c r="E477" s="14"/>
      <c r="F477" s="13"/>
      <c r="G477" s="13"/>
      <c r="H477" s="13"/>
      <c r="I477" s="13"/>
      <c r="J477" s="13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13"/>
      <c r="BJ477" s="13"/>
      <c r="BK477" s="13"/>
      <c r="BL477" s="46"/>
      <c r="BM477" s="46"/>
      <c r="BN477" s="46"/>
      <c r="BO477" s="46"/>
      <c r="BP477" s="46"/>
      <c r="BQ477" s="46"/>
      <c r="BR477" s="34"/>
      <c r="BS477" s="34"/>
      <c r="BT477" s="34"/>
      <c r="BU477" s="34"/>
      <c r="BV477" s="34"/>
      <c r="BW477" s="34"/>
      <c r="BX477" s="34"/>
      <c r="BY477" s="4"/>
    </row>
    <row r="478" spans="1:77">
      <c r="A478" s="57"/>
      <c r="B478" s="12"/>
      <c r="C478" s="13"/>
      <c r="D478" s="13"/>
      <c r="E478" s="14"/>
      <c r="F478" s="13"/>
      <c r="G478" s="13"/>
      <c r="H478" s="13"/>
      <c r="I478" s="13"/>
      <c r="J478" s="13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13"/>
      <c r="BJ478" s="13"/>
      <c r="BK478" s="13"/>
      <c r="BL478" s="46"/>
      <c r="BM478" s="46"/>
      <c r="BN478" s="46"/>
      <c r="BO478" s="46"/>
      <c r="BP478" s="46"/>
      <c r="BQ478" s="46"/>
      <c r="BR478" s="34"/>
      <c r="BS478" s="34"/>
      <c r="BT478" s="34"/>
      <c r="BU478" s="34"/>
      <c r="BV478" s="34"/>
      <c r="BW478" s="34"/>
      <c r="BX478" s="34"/>
      <c r="BY478" s="4"/>
    </row>
    <row r="479" spans="1:77">
      <c r="A479" s="57"/>
      <c r="B479" s="12"/>
      <c r="C479" s="13"/>
      <c r="D479" s="13"/>
      <c r="E479" s="14"/>
      <c r="F479" s="13"/>
      <c r="G479" s="13"/>
      <c r="H479" s="13"/>
      <c r="I479" s="13"/>
      <c r="J479" s="13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13"/>
      <c r="BJ479" s="13"/>
      <c r="BK479" s="13"/>
      <c r="BL479" s="46"/>
      <c r="BM479" s="46"/>
      <c r="BN479" s="46"/>
      <c r="BO479" s="46"/>
      <c r="BP479" s="46"/>
      <c r="BQ479" s="46"/>
      <c r="BR479" s="34"/>
      <c r="BS479" s="34"/>
      <c r="BT479" s="34"/>
      <c r="BU479" s="34"/>
      <c r="BV479" s="34"/>
      <c r="BW479" s="34"/>
      <c r="BX479" s="34"/>
      <c r="BY479" s="4"/>
    </row>
    <row r="480" spans="1:77">
      <c r="A480" s="57"/>
      <c r="B480" s="12"/>
      <c r="C480" s="13"/>
      <c r="D480" s="13"/>
      <c r="E480" s="14"/>
      <c r="F480" s="13"/>
      <c r="G480" s="13"/>
      <c r="H480" s="13"/>
      <c r="I480" s="13"/>
      <c r="J480" s="13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13"/>
      <c r="BJ480" s="13"/>
      <c r="BK480" s="13"/>
      <c r="BL480" s="46"/>
      <c r="BM480" s="46"/>
      <c r="BN480" s="46"/>
      <c r="BO480" s="46"/>
      <c r="BP480" s="46"/>
      <c r="BQ480" s="46"/>
      <c r="BR480" s="34"/>
      <c r="BS480" s="34"/>
      <c r="BT480" s="34"/>
      <c r="BU480" s="34"/>
      <c r="BV480" s="34"/>
      <c r="BW480" s="34"/>
      <c r="BX480" s="34"/>
      <c r="BY480" s="4"/>
    </row>
    <row r="481" spans="1:77">
      <c r="A481" s="57"/>
      <c r="B481" s="12"/>
      <c r="C481" s="13"/>
      <c r="D481" s="13"/>
      <c r="E481" s="14"/>
      <c r="F481" s="13"/>
      <c r="G481" s="13"/>
      <c r="H481" s="13"/>
      <c r="I481" s="13"/>
      <c r="J481" s="13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13"/>
      <c r="BJ481" s="13"/>
      <c r="BK481" s="13"/>
      <c r="BL481" s="46"/>
      <c r="BM481" s="46"/>
      <c r="BN481" s="46"/>
      <c r="BO481" s="46"/>
      <c r="BP481" s="46"/>
      <c r="BQ481" s="46"/>
      <c r="BR481" s="34"/>
      <c r="BS481" s="34"/>
      <c r="BT481" s="34"/>
      <c r="BU481" s="34"/>
      <c r="BV481" s="34"/>
      <c r="BW481" s="34"/>
      <c r="BX481" s="34"/>
      <c r="BY481" s="4"/>
    </row>
    <row r="482" spans="1:77">
      <c r="A482" s="57"/>
      <c r="B482" s="12"/>
      <c r="C482" s="13"/>
      <c r="D482" s="13"/>
      <c r="E482" s="14"/>
      <c r="F482" s="13"/>
      <c r="G482" s="13"/>
      <c r="H482" s="13"/>
      <c r="I482" s="13"/>
      <c r="J482" s="13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13"/>
      <c r="BJ482" s="13"/>
      <c r="BK482" s="13"/>
      <c r="BL482" s="46"/>
      <c r="BM482" s="46"/>
      <c r="BN482" s="46"/>
      <c r="BO482" s="46"/>
      <c r="BP482" s="46"/>
      <c r="BQ482" s="46"/>
      <c r="BR482" s="34"/>
      <c r="BS482" s="34"/>
      <c r="BT482" s="34"/>
      <c r="BU482" s="34"/>
      <c r="BV482" s="34"/>
      <c r="BW482" s="34"/>
      <c r="BX482" s="34"/>
      <c r="BY482" s="4"/>
    </row>
    <row r="483" spans="1:77">
      <c r="A483" s="57"/>
      <c r="B483" s="13"/>
      <c r="C483" s="13"/>
      <c r="D483" s="13"/>
      <c r="E483" s="14"/>
      <c r="F483" s="13"/>
      <c r="G483" s="13"/>
      <c r="H483" s="13"/>
      <c r="I483" s="13"/>
      <c r="J483" s="13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13"/>
      <c r="BJ483" s="13"/>
      <c r="BK483" s="13"/>
      <c r="BL483" s="46"/>
      <c r="BM483" s="46"/>
      <c r="BN483" s="46"/>
      <c r="BO483" s="46"/>
      <c r="BP483" s="46"/>
      <c r="BQ483" s="46"/>
      <c r="BR483" s="34"/>
      <c r="BS483" s="34"/>
      <c r="BT483" s="34"/>
      <c r="BU483" s="34"/>
      <c r="BV483" s="34"/>
      <c r="BW483" s="34"/>
      <c r="BX483" s="34"/>
      <c r="BY483" s="4"/>
    </row>
    <row r="484" spans="1:77">
      <c r="A484" s="57"/>
      <c r="B484" s="12"/>
      <c r="C484" s="13"/>
      <c r="D484" s="13"/>
      <c r="E484" s="14"/>
      <c r="F484" s="13"/>
      <c r="G484" s="13"/>
      <c r="H484" s="13"/>
      <c r="I484" s="13"/>
      <c r="J484" s="13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13"/>
      <c r="BJ484" s="13"/>
      <c r="BK484" s="13"/>
      <c r="BL484" s="46"/>
      <c r="BM484" s="46"/>
      <c r="BN484" s="46"/>
      <c r="BO484" s="46"/>
      <c r="BP484" s="46"/>
      <c r="BQ484" s="46"/>
      <c r="BR484" s="34"/>
      <c r="BS484" s="34"/>
      <c r="BT484" s="34"/>
      <c r="BU484" s="34"/>
      <c r="BV484" s="34"/>
      <c r="BW484" s="34"/>
      <c r="BX484" s="34"/>
      <c r="BY484" s="4"/>
    </row>
    <row r="485" spans="1:77">
      <c r="A485" s="57"/>
      <c r="B485" s="12"/>
      <c r="C485" s="13"/>
      <c r="D485" s="13"/>
      <c r="E485" s="14"/>
      <c r="F485" s="13"/>
      <c r="G485" s="13"/>
      <c r="H485" s="13"/>
      <c r="I485" s="13"/>
      <c r="J485" s="13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13"/>
      <c r="BJ485" s="13"/>
      <c r="BK485" s="13"/>
      <c r="BL485" s="46"/>
      <c r="BM485" s="46"/>
      <c r="BN485" s="46"/>
      <c r="BO485" s="46"/>
      <c r="BP485" s="46"/>
      <c r="BQ485" s="46"/>
      <c r="BR485" s="34"/>
      <c r="BS485" s="34"/>
      <c r="BT485" s="34"/>
      <c r="BU485" s="34"/>
      <c r="BV485" s="34"/>
      <c r="BW485" s="34"/>
      <c r="BX485" s="34"/>
      <c r="BY485" s="4"/>
    </row>
    <row r="486" spans="1:77">
      <c r="A486" s="57"/>
      <c r="B486" s="12"/>
      <c r="C486" s="13"/>
      <c r="D486" s="13"/>
      <c r="E486" s="14"/>
      <c r="F486" s="13"/>
      <c r="G486" s="13"/>
      <c r="H486" s="13"/>
      <c r="I486" s="13"/>
      <c r="J486" s="13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13"/>
      <c r="BJ486" s="13"/>
      <c r="BK486" s="13"/>
      <c r="BL486" s="46"/>
      <c r="BM486" s="46"/>
      <c r="BN486" s="46"/>
      <c r="BO486" s="46"/>
      <c r="BP486" s="46"/>
      <c r="BQ486" s="46"/>
      <c r="BR486" s="34"/>
      <c r="BS486" s="34"/>
      <c r="BT486" s="34"/>
      <c r="BU486" s="34"/>
      <c r="BV486" s="34"/>
      <c r="BW486" s="34"/>
      <c r="BX486" s="34"/>
      <c r="BY486" s="4"/>
    </row>
    <row r="487" spans="1:77">
      <c r="A487" s="57"/>
      <c r="B487" s="13"/>
      <c r="C487" s="13"/>
      <c r="D487" s="13"/>
      <c r="E487" s="14"/>
      <c r="F487" s="13"/>
      <c r="G487" s="13"/>
      <c r="H487" s="13"/>
      <c r="I487" s="13"/>
      <c r="J487" s="13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13"/>
      <c r="BJ487" s="13"/>
      <c r="BK487" s="13"/>
      <c r="BL487" s="46"/>
      <c r="BM487" s="46"/>
      <c r="BN487" s="46"/>
      <c r="BO487" s="46"/>
      <c r="BP487" s="46"/>
      <c r="BQ487" s="46"/>
      <c r="BR487" s="34"/>
      <c r="BS487" s="34"/>
      <c r="BT487" s="34"/>
      <c r="BU487" s="34"/>
      <c r="BV487" s="34"/>
      <c r="BW487" s="34"/>
      <c r="BX487" s="34"/>
      <c r="BY487" s="4"/>
    </row>
    <row r="488" spans="1:77">
      <c r="A488" s="57"/>
      <c r="B488" s="12"/>
      <c r="C488" s="13"/>
      <c r="D488" s="13"/>
      <c r="E488" s="14"/>
      <c r="F488" s="13"/>
      <c r="G488" s="13"/>
      <c r="H488" s="13"/>
      <c r="I488" s="13"/>
      <c r="J488" s="13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13"/>
      <c r="BJ488" s="13"/>
      <c r="BK488" s="13"/>
      <c r="BL488" s="46"/>
      <c r="BM488" s="46"/>
      <c r="BN488" s="46"/>
      <c r="BO488" s="46"/>
      <c r="BP488" s="46"/>
      <c r="BQ488" s="46"/>
      <c r="BR488" s="34"/>
      <c r="BS488" s="34"/>
      <c r="BT488" s="34"/>
      <c r="BU488" s="34"/>
      <c r="BV488" s="34"/>
      <c r="BW488" s="34"/>
      <c r="BX488" s="34"/>
      <c r="BY488" s="4"/>
    </row>
    <row r="489" spans="1:77">
      <c r="A489" s="57"/>
      <c r="B489" s="12"/>
      <c r="C489" s="13"/>
      <c r="D489" s="13"/>
      <c r="E489" s="14"/>
      <c r="F489" s="13"/>
      <c r="G489" s="13"/>
      <c r="H489" s="13"/>
      <c r="I489" s="13"/>
      <c r="J489" s="13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13"/>
      <c r="BJ489" s="13"/>
      <c r="BK489" s="13"/>
      <c r="BL489" s="46"/>
      <c r="BM489" s="46"/>
      <c r="BN489" s="46"/>
      <c r="BO489" s="46"/>
      <c r="BP489" s="46"/>
      <c r="BQ489" s="46"/>
      <c r="BR489" s="34"/>
      <c r="BS489" s="34"/>
      <c r="BT489" s="34"/>
      <c r="BU489" s="34"/>
      <c r="BV489" s="34"/>
      <c r="BW489" s="34"/>
      <c r="BX489" s="34"/>
      <c r="BY489" s="4"/>
    </row>
    <row r="490" spans="1:77">
      <c r="A490" s="57"/>
      <c r="B490" s="13"/>
      <c r="C490" s="13"/>
      <c r="D490" s="13"/>
      <c r="E490" s="14"/>
      <c r="F490" s="13"/>
      <c r="G490" s="13"/>
      <c r="H490" s="13"/>
      <c r="I490" s="13"/>
      <c r="J490" s="13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13"/>
      <c r="BJ490" s="13"/>
      <c r="BK490" s="13"/>
      <c r="BL490" s="46"/>
      <c r="BM490" s="46"/>
      <c r="BN490" s="46"/>
      <c r="BO490" s="46"/>
      <c r="BP490" s="46"/>
      <c r="BQ490" s="46"/>
      <c r="BR490" s="34"/>
      <c r="BS490" s="34"/>
      <c r="BT490" s="34"/>
      <c r="BU490" s="34"/>
      <c r="BV490" s="34"/>
      <c r="BW490" s="34"/>
      <c r="BX490" s="34"/>
      <c r="BY490" s="4"/>
    </row>
    <row r="491" spans="1:77">
      <c r="A491" s="57"/>
      <c r="B491" s="12"/>
      <c r="C491" s="13"/>
      <c r="D491" s="13"/>
      <c r="E491" s="14"/>
      <c r="F491" s="13"/>
      <c r="G491" s="13"/>
      <c r="H491" s="13"/>
      <c r="I491" s="13"/>
      <c r="J491" s="13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13"/>
      <c r="BJ491" s="13"/>
      <c r="BK491" s="13"/>
      <c r="BL491" s="46"/>
      <c r="BM491" s="46"/>
      <c r="BN491" s="46"/>
      <c r="BO491" s="46"/>
      <c r="BP491" s="46"/>
      <c r="BQ491" s="46"/>
      <c r="BR491" s="34"/>
      <c r="BS491" s="34"/>
      <c r="BT491" s="34"/>
      <c r="BU491" s="34"/>
      <c r="BV491" s="34"/>
      <c r="BW491" s="34"/>
      <c r="BX491" s="34"/>
      <c r="BY491" s="4"/>
    </row>
    <row r="492" spans="1:77">
      <c r="A492" s="57"/>
      <c r="B492" s="13"/>
      <c r="C492" s="13"/>
      <c r="D492" s="13"/>
      <c r="E492" s="14"/>
      <c r="F492" s="13"/>
      <c r="G492" s="13"/>
      <c r="H492" s="13"/>
      <c r="I492" s="13"/>
      <c r="J492" s="13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13"/>
      <c r="BJ492" s="13"/>
      <c r="BK492" s="13"/>
      <c r="BL492" s="46"/>
      <c r="BM492" s="46"/>
      <c r="BN492" s="46"/>
      <c r="BO492" s="46"/>
      <c r="BP492" s="46"/>
      <c r="BQ492" s="46"/>
      <c r="BR492" s="34"/>
      <c r="BS492" s="34"/>
      <c r="BT492" s="34"/>
      <c r="BU492" s="34"/>
      <c r="BV492" s="34"/>
      <c r="BW492" s="34"/>
      <c r="BX492" s="34"/>
      <c r="BY492" s="4"/>
    </row>
    <row r="493" spans="1:77">
      <c r="A493" s="57"/>
      <c r="B493" s="12"/>
      <c r="C493" s="13"/>
      <c r="D493" s="13"/>
      <c r="E493" s="14"/>
      <c r="F493" s="13"/>
      <c r="G493" s="13"/>
      <c r="H493" s="13"/>
      <c r="I493" s="13"/>
      <c r="J493" s="13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13"/>
      <c r="BJ493" s="13"/>
      <c r="BK493" s="13"/>
      <c r="BL493" s="46"/>
      <c r="BM493" s="46"/>
      <c r="BN493" s="46"/>
      <c r="BO493" s="46"/>
      <c r="BP493" s="46"/>
      <c r="BQ493" s="46"/>
      <c r="BR493" s="34"/>
      <c r="BS493" s="34"/>
      <c r="BT493" s="34"/>
      <c r="BU493" s="34"/>
      <c r="BV493" s="34"/>
      <c r="BW493" s="34"/>
      <c r="BX493" s="34"/>
      <c r="BY493" s="4"/>
    </row>
    <row r="494" spans="1:77">
      <c r="A494" s="57"/>
      <c r="B494" s="13"/>
      <c r="C494" s="13"/>
      <c r="D494" s="13"/>
      <c r="E494" s="14"/>
      <c r="F494" s="13"/>
      <c r="G494" s="13"/>
      <c r="H494" s="13"/>
      <c r="I494" s="13"/>
      <c r="J494" s="13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13"/>
      <c r="BJ494" s="13"/>
      <c r="BK494" s="13"/>
      <c r="BL494" s="46"/>
      <c r="BM494" s="46"/>
      <c r="BN494" s="46"/>
      <c r="BO494" s="46"/>
      <c r="BP494" s="46"/>
      <c r="BQ494" s="46"/>
      <c r="BR494" s="34"/>
      <c r="BS494" s="34"/>
      <c r="BT494" s="34"/>
      <c r="BU494" s="34"/>
      <c r="BV494" s="34"/>
      <c r="BW494" s="34"/>
      <c r="BX494" s="34"/>
      <c r="BY494" s="4"/>
    </row>
    <row r="495" spans="1:77">
      <c r="A495" s="57"/>
      <c r="B495" s="12"/>
      <c r="C495" s="13"/>
      <c r="D495" s="13"/>
      <c r="E495" s="14"/>
      <c r="F495" s="13"/>
      <c r="G495" s="13"/>
      <c r="H495" s="13"/>
      <c r="I495" s="13"/>
      <c r="J495" s="13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13"/>
      <c r="BJ495" s="13"/>
      <c r="BK495" s="13"/>
      <c r="BL495" s="46"/>
      <c r="BM495" s="46"/>
      <c r="BN495" s="46"/>
      <c r="BO495" s="46"/>
      <c r="BP495" s="46"/>
      <c r="BQ495" s="46"/>
      <c r="BR495" s="34"/>
      <c r="BS495" s="34"/>
      <c r="BT495" s="34"/>
      <c r="BU495" s="34"/>
      <c r="BV495" s="34"/>
      <c r="BW495" s="34"/>
      <c r="BX495" s="34"/>
      <c r="BY495" s="4"/>
    </row>
    <row r="496" spans="1:77">
      <c r="A496" s="57"/>
      <c r="B496" s="12"/>
      <c r="C496" s="13"/>
      <c r="D496" s="13"/>
      <c r="E496" s="14"/>
      <c r="F496" s="13"/>
      <c r="G496" s="13"/>
      <c r="H496" s="13"/>
      <c r="I496" s="13"/>
      <c r="J496" s="13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13"/>
      <c r="BJ496" s="13"/>
      <c r="BK496" s="13"/>
      <c r="BL496" s="46"/>
      <c r="BM496" s="46"/>
      <c r="BN496" s="46"/>
      <c r="BO496" s="46"/>
      <c r="BP496" s="46"/>
      <c r="BQ496" s="46"/>
      <c r="BR496" s="34"/>
      <c r="BS496" s="34"/>
      <c r="BT496" s="34"/>
      <c r="BU496" s="34"/>
      <c r="BV496" s="34"/>
      <c r="BW496" s="34"/>
      <c r="BX496" s="34"/>
      <c r="BY496" s="4"/>
    </row>
    <row r="497" spans="1:77">
      <c r="A497" s="57"/>
      <c r="B497" s="12"/>
      <c r="C497" s="13"/>
      <c r="D497" s="13"/>
      <c r="E497" s="14"/>
      <c r="F497" s="13"/>
      <c r="G497" s="13"/>
      <c r="H497" s="13"/>
      <c r="I497" s="13"/>
      <c r="J497" s="13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13"/>
      <c r="BJ497" s="13"/>
      <c r="BK497" s="13"/>
      <c r="BL497" s="46"/>
      <c r="BM497" s="46"/>
      <c r="BN497" s="46"/>
      <c r="BO497" s="46"/>
      <c r="BP497" s="46"/>
      <c r="BQ497" s="46"/>
      <c r="BR497" s="34"/>
      <c r="BS497" s="34"/>
      <c r="BT497" s="34"/>
      <c r="BU497" s="34"/>
      <c r="BV497" s="34"/>
      <c r="BW497" s="34"/>
      <c r="BX497" s="34"/>
      <c r="BY497" s="4"/>
    </row>
    <row r="498" spans="1:77">
      <c r="A498" s="57"/>
      <c r="B498" s="13"/>
      <c r="C498" s="13"/>
      <c r="D498" s="13"/>
      <c r="E498" s="14"/>
      <c r="F498" s="13"/>
      <c r="G498" s="13"/>
      <c r="H498" s="13"/>
      <c r="I498" s="13"/>
      <c r="J498" s="13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13"/>
      <c r="BJ498" s="13"/>
      <c r="BK498" s="13"/>
      <c r="BL498" s="46"/>
      <c r="BM498" s="46"/>
      <c r="BN498" s="46"/>
      <c r="BO498" s="46"/>
      <c r="BP498" s="46"/>
      <c r="BQ498" s="46"/>
      <c r="BR498" s="34"/>
      <c r="BS498" s="34"/>
      <c r="BT498" s="34"/>
      <c r="BU498" s="34"/>
      <c r="BV498" s="34"/>
      <c r="BW498" s="34"/>
      <c r="BX498" s="34"/>
      <c r="BY498" s="4"/>
    </row>
    <row r="499" spans="1:77">
      <c r="A499" s="57"/>
      <c r="B499" s="12"/>
      <c r="C499" s="13"/>
      <c r="D499" s="13"/>
      <c r="E499" s="14"/>
      <c r="F499" s="13"/>
      <c r="G499" s="13"/>
      <c r="H499" s="13"/>
      <c r="I499" s="13"/>
      <c r="J499" s="13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13"/>
      <c r="BJ499" s="13"/>
      <c r="BK499" s="13"/>
      <c r="BL499" s="46"/>
      <c r="BM499" s="46"/>
      <c r="BN499" s="46"/>
      <c r="BO499" s="46"/>
      <c r="BP499" s="46"/>
      <c r="BQ499" s="46"/>
      <c r="BR499" s="34"/>
      <c r="BS499" s="34"/>
      <c r="BT499" s="34"/>
      <c r="BU499" s="34"/>
      <c r="BV499" s="34"/>
      <c r="BW499" s="34"/>
      <c r="BX499" s="34"/>
      <c r="BY499" s="4"/>
    </row>
    <row r="500" spans="1:77">
      <c r="A500" s="57"/>
      <c r="B500" s="13"/>
      <c r="C500" s="13"/>
      <c r="D500" s="13"/>
      <c r="E500" s="14"/>
      <c r="F500" s="13"/>
      <c r="G500" s="13"/>
      <c r="H500" s="13"/>
      <c r="I500" s="13"/>
      <c r="J500" s="13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13"/>
      <c r="BJ500" s="13"/>
      <c r="BK500" s="13"/>
      <c r="BL500" s="46"/>
      <c r="BM500" s="46"/>
      <c r="BN500" s="46"/>
      <c r="BO500" s="46"/>
      <c r="BP500" s="46"/>
      <c r="BQ500" s="46"/>
      <c r="BR500" s="34"/>
      <c r="BS500" s="34"/>
      <c r="BT500" s="34"/>
      <c r="BU500" s="34"/>
      <c r="BV500" s="34"/>
      <c r="BW500" s="34"/>
      <c r="BX500" s="34"/>
      <c r="BY500" s="4"/>
    </row>
    <row r="501" spans="1:77">
      <c r="A501" s="57"/>
      <c r="B501" s="12"/>
      <c r="C501" s="13"/>
      <c r="D501" s="13"/>
      <c r="E501" s="14"/>
      <c r="F501" s="13"/>
      <c r="G501" s="13"/>
      <c r="H501" s="13"/>
      <c r="I501" s="13"/>
      <c r="J501" s="13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13"/>
      <c r="BJ501" s="13"/>
      <c r="BK501" s="13"/>
      <c r="BL501" s="46"/>
      <c r="BM501" s="46"/>
      <c r="BN501" s="46"/>
      <c r="BO501" s="46"/>
      <c r="BP501" s="46"/>
      <c r="BQ501" s="46"/>
      <c r="BR501" s="34"/>
      <c r="BS501" s="34"/>
      <c r="BT501" s="34"/>
      <c r="BU501" s="34"/>
      <c r="BV501" s="34"/>
      <c r="BW501" s="34"/>
      <c r="BX501" s="34"/>
      <c r="BY501" s="4"/>
    </row>
    <row r="502" spans="1:77">
      <c r="A502" s="57"/>
      <c r="B502" s="12"/>
      <c r="C502" s="13"/>
      <c r="D502" s="13"/>
      <c r="E502" s="14"/>
      <c r="F502" s="13"/>
      <c r="G502" s="13"/>
      <c r="H502" s="13"/>
      <c r="I502" s="13"/>
      <c r="J502" s="13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13"/>
      <c r="BJ502" s="13"/>
      <c r="BK502" s="13"/>
      <c r="BL502" s="46"/>
      <c r="BM502" s="46"/>
      <c r="BN502" s="46"/>
      <c r="BO502" s="46"/>
      <c r="BP502" s="46"/>
      <c r="BQ502" s="46"/>
      <c r="BR502" s="34"/>
      <c r="BS502" s="34"/>
      <c r="BT502" s="34"/>
      <c r="BU502" s="34"/>
      <c r="BV502" s="34"/>
      <c r="BW502" s="34"/>
      <c r="BX502" s="34"/>
      <c r="BY502" s="4"/>
    </row>
    <row r="503" spans="1:77">
      <c r="A503" s="57"/>
      <c r="B503" s="13"/>
      <c r="C503" s="13"/>
      <c r="D503" s="13"/>
      <c r="E503" s="14"/>
      <c r="F503" s="13"/>
      <c r="G503" s="13"/>
      <c r="H503" s="13"/>
      <c r="I503" s="13"/>
      <c r="J503" s="13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13"/>
      <c r="BJ503" s="13"/>
      <c r="BK503" s="13"/>
      <c r="BL503" s="46"/>
      <c r="BM503" s="46"/>
      <c r="BN503" s="46"/>
      <c r="BO503" s="46"/>
      <c r="BP503" s="46"/>
      <c r="BQ503" s="46"/>
      <c r="BR503" s="34"/>
      <c r="BS503" s="34"/>
      <c r="BT503" s="34"/>
      <c r="BU503" s="34"/>
      <c r="BV503" s="34"/>
      <c r="BW503" s="34"/>
      <c r="BX503" s="34"/>
      <c r="BY503" s="4"/>
    </row>
    <row r="504" spans="1:77">
      <c r="A504" s="57"/>
      <c r="B504" s="13"/>
      <c r="C504" s="13"/>
      <c r="D504" s="13"/>
      <c r="E504" s="14"/>
      <c r="F504" s="13"/>
      <c r="G504" s="13"/>
      <c r="H504" s="13"/>
      <c r="I504" s="13"/>
      <c r="J504" s="13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13"/>
      <c r="BJ504" s="13"/>
      <c r="BK504" s="13"/>
      <c r="BL504" s="46"/>
      <c r="BM504" s="46"/>
      <c r="BN504" s="46"/>
      <c r="BO504" s="46"/>
      <c r="BP504" s="46"/>
      <c r="BQ504" s="46"/>
      <c r="BR504" s="34"/>
      <c r="BS504" s="34"/>
      <c r="BT504" s="34"/>
      <c r="BU504" s="34"/>
      <c r="BV504" s="34"/>
      <c r="BW504" s="34"/>
      <c r="BX504" s="34"/>
      <c r="BY504" s="4"/>
    </row>
    <row r="505" spans="1:77">
      <c r="A505" s="57"/>
      <c r="B505" s="12"/>
      <c r="C505" s="13"/>
      <c r="D505" s="13"/>
      <c r="E505" s="14"/>
      <c r="F505" s="13"/>
      <c r="G505" s="13"/>
      <c r="H505" s="13"/>
      <c r="I505" s="13"/>
      <c r="J505" s="13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13"/>
      <c r="BJ505" s="13"/>
      <c r="BK505" s="13"/>
      <c r="BL505" s="46"/>
      <c r="BM505" s="46"/>
      <c r="BN505" s="46"/>
      <c r="BO505" s="46"/>
      <c r="BP505" s="46"/>
      <c r="BQ505" s="46"/>
      <c r="BR505" s="34"/>
      <c r="BS505" s="34"/>
      <c r="BT505" s="34"/>
      <c r="BU505" s="34"/>
      <c r="BV505" s="34"/>
      <c r="BW505" s="34"/>
      <c r="BX505" s="34"/>
      <c r="BY505" s="4"/>
    </row>
    <row r="506" spans="1:77">
      <c r="A506" s="57"/>
      <c r="B506" s="13"/>
      <c r="C506" s="13"/>
      <c r="D506" s="13"/>
      <c r="E506" s="14"/>
      <c r="F506" s="13"/>
      <c r="G506" s="13"/>
      <c r="H506" s="13"/>
      <c r="I506" s="13"/>
      <c r="J506" s="13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13"/>
      <c r="BJ506" s="13"/>
      <c r="BK506" s="13"/>
      <c r="BL506" s="46"/>
      <c r="BM506" s="46"/>
      <c r="BN506" s="46"/>
      <c r="BO506" s="46"/>
      <c r="BP506" s="46"/>
      <c r="BQ506" s="46"/>
      <c r="BR506" s="34"/>
      <c r="BS506" s="34"/>
      <c r="BT506" s="34"/>
      <c r="BU506" s="34"/>
      <c r="BV506" s="34"/>
      <c r="BW506" s="34"/>
      <c r="BX506" s="34"/>
      <c r="BY506" s="4"/>
    </row>
    <row r="507" spans="1:77">
      <c r="A507" s="57"/>
      <c r="B507" s="12"/>
      <c r="C507" s="13"/>
      <c r="D507" s="13"/>
      <c r="E507" s="14"/>
      <c r="F507" s="13"/>
      <c r="G507" s="13"/>
      <c r="H507" s="13"/>
      <c r="I507" s="13"/>
      <c r="J507" s="13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13"/>
      <c r="BJ507" s="13"/>
      <c r="BK507" s="13"/>
      <c r="BL507" s="46"/>
      <c r="BM507" s="46"/>
      <c r="BN507" s="46"/>
      <c r="BO507" s="46"/>
      <c r="BP507" s="46"/>
      <c r="BQ507" s="46"/>
      <c r="BR507" s="34"/>
      <c r="BS507" s="34"/>
      <c r="BT507" s="34"/>
      <c r="BU507" s="34"/>
      <c r="BV507" s="34"/>
      <c r="BW507" s="34"/>
      <c r="BX507" s="34"/>
      <c r="BY507" s="4"/>
    </row>
    <row r="508" spans="1:77">
      <c r="A508" s="57"/>
      <c r="B508" s="12"/>
      <c r="C508" s="13"/>
      <c r="D508" s="13"/>
      <c r="E508" s="14"/>
      <c r="F508" s="13"/>
      <c r="G508" s="13"/>
      <c r="H508" s="13"/>
      <c r="I508" s="13"/>
      <c r="J508" s="13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13"/>
      <c r="BJ508" s="13"/>
      <c r="BK508" s="13"/>
      <c r="BL508" s="46"/>
      <c r="BM508" s="46"/>
      <c r="BN508" s="46"/>
      <c r="BO508" s="46"/>
      <c r="BP508" s="46"/>
      <c r="BQ508" s="46"/>
      <c r="BR508" s="34"/>
      <c r="BS508" s="34"/>
      <c r="BT508" s="34"/>
      <c r="BU508" s="34"/>
      <c r="BV508" s="34"/>
      <c r="BW508" s="34"/>
      <c r="BX508" s="34"/>
      <c r="BY508" s="4"/>
    </row>
    <row r="509" spans="1:77">
      <c r="A509" s="57"/>
      <c r="B509" s="16"/>
      <c r="C509" s="16"/>
      <c r="D509" s="16"/>
      <c r="E509" s="17"/>
      <c r="F509" s="16"/>
      <c r="G509" s="16"/>
      <c r="H509" s="16"/>
      <c r="I509" s="16"/>
      <c r="J509" s="1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5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16"/>
      <c r="BJ509" s="16"/>
      <c r="BK509" s="16"/>
      <c r="BL509" s="48"/>
      <c r="BM509" s="48"/>
      <c r="BN509" s="48"/>
      <c r="BO509" s="48"/>
      <c r="BP509" s="48"/>
      <c r="BQ509" s="48"/>
      <c r="BR509" s="36"/>
      <c r="BS509" s="36"/>
      <c r="BT509" s="36"/>
      <c r="BU509" s="36"/>
      <c r="BV509" s="36"/>
      <c r="BW509" s="36"/>
      <c r="BX509" s="36"/>
      <c r="BY509" s="6"/>
    </row>
    <row r="510" spans="1:77">
      <c r="A510" s="57"/>
      <c r="B510" s="12"/>
      <c r="C510" s="13"/>
      <c r="D510" s="13"/>
      <c r="E510" s="14"/>
      <c r="F510" s="13"/>
      <c r="G510" s="13"/>
      <c r="H510" s="13"/>
      <c r="I510" s="13"/>
      <c r="J510" s="13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13"/>
      <c r="BJ510" s="13"/>
      <c r="BK510" s="13"/>
      <c r="BL510" s="46"/>
      <c r="BM510" s="46"/>
      <c r="BN510" s="46"/>
      <c r="BO510" s="46"/>
      <c r="BP510" s="46"/>
      <c r="BQ510" s="46"/>
      <c r="BR510" s="34"/>
      <c r="BS510" s="34"/>
      <c r="BT510" s="34"/>
      <c r="BU510" s="34"/>
      <c r="BV510" s="34"/>
      <c r="BW510" s="34"/>
      <c r="BX510" s="34"/>
      <c r="BY510" s="4"/>
    </row>
    <row r="511" spans="1:77">
      <c r="A511" s="57"/>
      <c r="B511" s="12"/>
      <c r="C511" s="13"/>
      <c r="D511" s="13"/>
      <c r="E511" s="14"/>
      <c r="F511" s="13"/>
      <c r="G511" s="13"/>
      <c r="H511" s="13"/>
      <c r="I511" s="13"/>
      <c r="J511" s="13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13"/>
      <c r="BJ511" s="13"/>
      <c r="BK511" s="13"/>
      <c r="BL511" s="46"/>
      <c r="BM511" s="46"/>
      <c r="BN511" s="46"/>
      <c r="BO511" s="46"/>
      <c r="BP511" s="46"/>
      <c r="BQ511" s="46"/>
      <c r="BR511" s="34"/>
      <c r="BS511" s="34"/>
      <c r="BT511" s="34"/>
      <c r="BU511" s="34"/>
      <c r="BV511" s="34"/>
      <c r="BW511" s="34"/>
      <c r="BX511" s="34"/>
      <c r="BY511" s="4"/>
    </row>
    <row r="512" spans="1:77">
      <c r="A512" s="57"/>
      <c r="B512" s="12"/>
      <c r="C512" s="13"/>
      <c r="D512" s="13"/>
      <c r="E512" s="14"/>
      <c r="F512" s="13"/>
      <c r="G512" s="13"/>
      <c r="H512" s="13"/>
      <c r="I512" s="13"/>
      <c r="J512" s="13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13"/>
      <c r="BJ512" s="13"/>
      <c r="BK512" s="13"/>
      <c r="BL512" s="46"/>
      <c r="BM512" s="46"/>
      <c r="BN512" s="46"/>
      <c r="BO512" s="46"/>
      <c r="BP512" s="46"/>
      <c r="BQ512" s="46"/>
      <c r="BR512" s="34"/>
      <c r="BS512" s="34"/>
      <c r="BT512" s="34"/>
      <c r="BU512" s="34"/>
      <c r="BV512" s="34"/>
      <c r="BW512" s="34"/>
      <c r="BX512" s="34"/>
      <c r="BY512" s="4"/>
    </row>
    <row r="513" spans="1:77">
      <c r="A513" s="57"/>
      <c r="B513" s="12"/>
      <c r="C513" s="13"/>
      <c r="D513" s="13"/>
      <c r="E513" s="14"/>
      <c r="F513" s="13"/>
      <c r="G513" s="13"/>
      <c r="H513" s="13"/>
      <c r="I513" s="13"/>
      <c r="J513" s="13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13"/>
      <c r="BJ513" s="13"/>
      <c r="BK513" s="13"/>
      <c r="BL513" s="46"/>
      <c r="BM513" s="46"/>
      <c r="BN513" s="46"/>
      <c r="BO513" s="46"/>
      <c r="BP513" s="46"/>
      <c r="BQ513" s="46"/>
      <c r="BR513" s="34"/>
      <c r="BS513" s="34"/>
      <c r="BT513" s="34"/>
      <c r="BU513" s="34"/>
      <c r="BV513" s="34"/>
      <c r="BW513" s="34"/>
      <c r="BX513" s="34"/>
      <c r="BY513" s="4"/>
    </row>
    <row r="514" spans="1:77">
      <c r="A514" s="57"/>
      <c r="B514" s="13"/>
      <c r="C514" s="13"/>
      <c r="D514" s="13"/>
      <c r="E514" s="14"/>
      <c r="F514" s="13"/>
      <c r="G514" s="13"/>
      <c r="H514" s="13"/>
      <c r="I514" s="13"/>
      <c r="J514" s="13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13"/>
      <c r="BJ514" s="13"/>
      <c r="BK514" s="13"/>
      <c r="BL514" s="46"/>
      <c r="BM514" s="46"/>
      <c r="BN514" s="46"/>
      <c r="BO514" s="46"/>
      <c r="BP514" s="46"/>
      <c r="BQ514" s="46"/>
      <c r="BR514" s="34"/>
      <c r="BS514" s="34"/>
      <c r="BT514" s="34"/>
      <c r="BU514" s="34"/>
      <c r="BV514" s="34"/>
      <c r="BW514" s="34"/>
      <c r="BX514" s="34"/>
      <c r="BY514" s="4"/>
    </row>
    <row r="515" spans="1:77">
      <c r="A515" s="57"/>
      <c r="B515" s="12"/>
      <c r="C515" s="13"/>
      <c r="D515" s="13"/>
      <c r="E515" s="14"/>
      <c r="F515" s="13"/>
      <c r="G515" s="13"/>
      <c r="H515" s="13"/>
      <c r="I515" s="13"/>
      <c r="J515" s="13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13"/>
      <c r="BJ515" s="13"/>
      <c r="BK515" s="13"/>
      <c r="BL515" s="46"/>
      <c r="BM515" s="46"/>
      <c r="BN515" s="46"/>
      <c r="BO515" s="46"/>
      <c r="BP515" s="46"/>
      <c r="BQ515" s="46"/>
      <c r="BR515" s="34"/>
      <c r="BS515" s="34"/>
      <c r="BT515" s="34"/>
      <c r="BU515" s="34"/>
      <c r="BV515" s="34"/>
      <c r="BW515" s="34"/>
      <c r="BX515" s="34"/>
      <c r="BY515" s="4"/>
    </row>
    <row r="516" spans="1:77">
      <c r="A516" s="57"/>
      <c r="B516" s="15"/>
      <c r="C516" s="13"/>
      <c r="D516" s="13"/>
      <c r="E516" s="14"/>
      <c r="F516" s="13"/>
      <c r="G516" s="13"/>
      <c r="H516" s="13"/>
      <c r="I516" s="13"/>
      <c r="J516" s="13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13"/>
      <c r="BJ516" s="13"/>
      <c r="BK516" s="13"/>
      <c r="BL516" s="46"/>
      <c r="BM516" s="46"/>
      <c r="BN516" s="46"/>
      <c r="BO516" s="46"/>
      <c r="BP516" s="46"/>
      <c r="BQ516" s="46"/>
      <c r="BR516" s="34"/>
      <c r="BS516" s="34"/>
      <c r="BT516" s="34"/>
      <c r="BU516" s="34"/>
      <c r="BV516" s="34"/>
      <c r="BW516" s="34"/>
      <c r="BX516" s="34"/>
      <c r="BY516" s="4"/>
    </row>
    <row r="517" spans="1:77">
      <c r="A517" s="57"/>
      <c r="B517" s="12"/>
      <c r="C517" s="13"/>
      <c r="D517" s="13"/>
      <c r="E517" s="14"/>
      <c r="F517" s="13"/>
      <c r="G517" s="13"/>
      <c r="H517" s="13"/>
      <c r="I517" s="13"/>
      <c r="J517" s="13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13"/>
      <c r="BJ517" s="13"/>
      <c r="BK517" s="13"/>
      <c r="BL517" s="46"/>
      <c r="BM517" s="46"/>
      <c r="BN517" s="46"/>
      <c r="BO517" s="46"/>
      <c r="BP517" s="46"/>
      <c r="BQ517" s="46"/>
      <c r="BR517" s="34"/>
      <c r="BS517" s="34"/>
      <c r="BT517" s="34"/>
      <c r="BU517" s="34"/>
      <c r="BV517" s="34"/>
      <c r="BW517" s="34"/>
      <c r="BX517" s="34"/>
      <c r="BY517" s="4"/>
    </row>
    <row r="518" spans="1:77">
      <c r="A518" s="57"/>
      <c r="B518" s="12"/>
      <c r="C518" s="13"/>
      <c r="D518" s="13"/>
      <c r="E518" s="14"/>
      <c r="F518" s="13"/>
      <c r="G518" s="13"/>
      <c r="H518" s="13"/>
      <c r="I518" s="13"/>
      <c r="J518" s="13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13"/>
      <c r="BJ518" s="13"/>
      <c r="BK518" s="13"/>
      <c r="BL518" s="46"/>
      <c r="BM518" s="46"/>
      <c r="BN518" s="46"/>
      <c r="BO518" s="46"/>
      <c r="BP518" s="46"/>
      <c r="BQ518" s="46"/>
      <c r="BR518" s="34"/>
      <c r="BS518" s="34"/>
      <c r="BT518" s="34"/>
      <c r="BU518" s="34"/>
      <c r="BV518" s="34"/>
      <c r="BW518" s="34"/>
      <c r="BX518" s="34"/>
      <c r="BY518" s="4"/>
    </row>
    <row r="519" spans="1:77">
      <c r="A519" s="57"/>
      <c r="B519" s="12"/>
      <c r="C519" s="13"/>
      <c r="D519" s="13"/>
      <c r="E519" s="14"/>
      <c r="F519" s="13"/>
      <c r="G519" s="13"/>
      <c r="H519" s="13"/>
      <c r="I519" s="13"/>
      <c r="J519" s="13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13"/>
      <c r="BJ519" s="13"/>
      <c r="BK519" s="13"/>
      <c r="BL519" s="46"/>
      <c r="BM519" s="46"/>
      <c r="BN519" s="46"/>
      <c r="BO519" s="46"/>
      <c r="BP519" s="46"/>
      <c r="BQ519" s="46"/>
      <c r="BR519" s="34"/>
      <c r="BS519" s="34"/>
      <c r="BT519" s="34"/>
      <c r="BU519" s="34"/>
      <c r="BV519" s="34"/>
      <c r="BW519" s="34"/>
      <c r="BX519" s="34"/>
      <c r="BY519" s="4"/>
    </row>
    <row r="520" spans="1:77">
      <c r="A520" s="57"/>
      <c r="B520" s="15"/>
      <c r="C520" s="13"/>
      <c r="D520" s="13"/>
      <c r="E520" s="14"/>
      <c r="F520" s="13"/>
      <c r="G520" s="13"/>
      <c r="H520" s="13"/>
      <c r="I520" s="13"/>
      <c r="J520" s="13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13"/>
      <c r="BJ520" s="13"/>
      <c r="BK520" s="13"/>
      <c r="BL520" s="46"/>
      <c r="BM520" s="46"/>
      <c r="BN520" s="46"/>
      <c r="BO520" s="46"/>
      <c r="BP520" s="46"/>
      <c r="BQ520" s="46"/>
      <c r="BR520" s="34"/>
      <c r="BS520" s="34"/>
      <c r="BT520" s="34"/>
      <c r="BU520" s="34"/>
      <c r="BV520" s="34"/>
      <c r="BW520" s="34"/>
      <c r="BX520" s="34"/>
      <c r="BY520" s="4"/>
    </row>
    <row r="521" spans="1:77">
      <c r="A521" s="57"/>
      <c r="B521" s="12"/>
      <c r="C521" s="13"/>
      <c r="D521" s="13"/>
      <c r="E521" s="14"/>
      <c r="F521" s="13"/>
      <c r="G521" s="13"/>
      <c r="H521" s="13"/>
      <c r="I521" s="13"/>
      <c r="J521" s="13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13"/>
      <c r="BJ521" s="13"/>
      <c r="BK521" s="13"/>
      <c r="BL521" s="46"/>
      <c r="BM521" s="46"/>
      <c r="BN521" s="46"/>
      <c r="BO521" s="46"/>
      <c r="BP521" s="46"/>
      <c r="BQ521" s="46"/>
      <c r="BR521" s="34"/>
      <c r="BS521" s="34"/>
      <c r="BT521" s="34"/>
      <c r="BU521" s="34"/>
      <c r="BV521" s="34"/>
      <c r="BW521" s="34"/>
      <c r="BX521" s="34"/>
      <c r="BY521" s="4"/>
    </row>
    <row r="522" spans="1:77">
      <c r="A522" s="57"/>
      <c r="B522" s="13"/>
      <c r="C522" s="13"/>
      <c r="D522" s="13"/>
      <c r="E522" s="14"/>
      <c r="F522" s="13"/>
      <c r="G522" s="13"/>
      <c r="H522" s="13"/>
      <c r="I522" s="13"/>
      <c r="J522" s="13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13"/>
      <c r="BJ522" s="13"/>
      <c r="BK522" s="13"/>
      <c r="BL522" s="46"/>
      <c r="BM522" s="46"/>
      <c r="BN522" s="46"/>
      <c r="BO522" s="46"/>
      <c r="BP522" s="46"/>
      <c r="BQ522" s="46"/>
      <c r="BR522" s="34"/>
      <c r="BS522" s="34"/>
      <c r="BT522" s="34"/>
      <c r="BU522" s="34"/>
      <c r="BV522" s="34"/>
      <c r="BW522" s="34"/>
      <c r="BX522" s="34"/>
      <c r="BY522" s="4"/>
    </row>
    <row r="523" spans="1:77">
      <c r="A523" s="57"/>
      <c r="B523" s="13"/>
      <c r="C523" s="13"/>
      <c r="D523" s="13"/>
      <c r="E523" s="14"/>
      <c r="F523" s="13"/>
      <c r="G523" s="13"/>
      <c r="H523" s="13"/>
      <c r="I523" s="13"/>
      <c r="J523" s="13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13"/>
      <c r="BJ523" s="13"/>
      <c r="BK523" s="13"/>
      <c r="BL523" s="46"/>
      <c r="BM523" s="46"/>
      <c r="BN523" s="46"/>
      <c r="BO523" s="46"/>
      <c r="BP523" s="46"/>
      <c r="BQ523" s="46"/>
      <c r="BR523" s="34"/>
      <c r="BS523" s="34"/>
      <c r="BT523" s="34"/>
      <c r="BU523" s="34"/>
      <c r="BV523" s="34"/>
      <c r="BW523" s="34"/>
      <c r="BX523" s="34"/>
      <c r="BY523" s="4"/>
    </row>
    <row r="524" spans="1:77">
      <c r="A524" s="57"/>
      <c r="B524" s="13"/>
      <c r="C524" s="13"/>
      <c r="D524" s="13"/>
      <c r="E524" s="14"/>
      <c r="F524" s="13"/>
      <c r="G524" s="13"/>
      <c r="H524" s="13"/>
      <c r="I524" s="13"/>
      <c r="J524" s="13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13"/>
      <c r="BJ524" s="13"/>
      <c r="BK524" s="13"/>
      <c r="BL524" s="46"/>
      <c r="BM524" s="46"/>
      <c r="BN524" s="46"/>
      <c r="BO524" s="46"/>
      <c r="BP524" s="46"/>
      <c r="BQ524" s="46"/>
      <c r="BR524" s="34"/>
      <c r="BS524" s="34"/>
      <c r="BT524" s="34"/>
      <c r="BU524" s="34"/>
      <c r="BV524" s="34"/>
      <c r="BW524" s="34"/>
      <c r="BX524" s="34"/>
      <c r="BY524" s="4"/>
    </row>
    <row r="525" spans="1:77">
      <c r="A525" s="57"/>
      <c r="B525" s="12"/>
      <c r="C525" s="13"/>
      <c r="D525" s="13"/>
      <c r="E525" s="14"/>
      <c r="F525" s="13"/>
      <c r="G525" s="13"/>
      <c r="H525" s="13"/>
      <c r="I525" s="13"/>
      <c r="J525" s="13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43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13"/>
      <c r="BJ525" s="13"/>
      <c r="BK525" s="13"/>
      <c r="BL525" s="46"/>
      <c r="BM525" s="46"/>
      <c r="BN525" s="46"/>
      <c r="BO525" s="46"/>
      <c r="BP525" s="46"/>
      <c r="BQ525" s="46"/>
      <c r="BR525" s="34"/>
      <c r="BS525" s="34"/>
      <c r="BT525" s="34"/>
      <c r="BU525" s="34"/>
      <c r="BV525" s="34"/>
      <c r="BW525" s="34"/>
      <c r="BX525" s="34"/>
      <c r="BY525" s="4"/>
    </row>
    <row r="526" spans="1:77">
      <c r="A526" s="57"/>
      <c r="B526" s="12"/>
      <c r="C526" s="13"/>
      <c r="D526" s="13"/>
      <c r="E526" s="14"/>
      <c r="F526" s="13"/>
      <c r="G526" s="13"/>
      <c r="H526" s="13"/>
      <c r="I526" s="13"/>
      <c r="J526" s="13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43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13"/>
      <c r="BJ526" s="13"/>
      <c r="BK526" s="13"/>
      <c r="BL526" s="46"/>
      <c r="BM526" s="46"/>
      <c r="BN526" s="46"/>
      <c r="BO526" s="46"/>
      <c r="BP526" s="46"/>
      <c r="BQ526" s="46"/>
      <c r="BR526" s="34"/>
      <c r="BS526" s="34"/>
      <c r="BT526" s="34"/>
      <c r="BU526" s="34"/>
      <c r="BV526" s="34"/>
      <c r="BW526" s="34"/>
      <c r="BX526" s="34"/>
      <c r="BY526" s="4"/>
    </row>
    <row r="527" spans="1:77">
      <c r="A527" s="57"/>
      <c r="B527" s="12"/>
      <c r="C527" s="13"/>
      <c r="D527" s="13"/>
      <c r="E527" s="14"/>
      <c r="F527" s="13"/>
      <c r="G527" s="13"/>
      <c r="H527" s="13"/>
      <c r="I527" s="13"/>
      <c r="J527" s="13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43"/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13"/>
      <c r="BJ527" s="13"/>
      <c r="BK527" s="13"/>
      <c r="BL527" s="46"/>
      <c r="BM527" s="46"/>
      <c r="BN527" s="46"/>
      <c r="BO527" s="46"/>
      <c r="BP527" s="46"/>
      <c r="BQ527" s="46"/>
      <c r="BR527" s="34"/>
      <c r="BS527" s="34"/>
      <c r="BT527" s="34"/>
      <c r="BU527" s="34"/>
      <c r="BV527" s="34"/>
      <c r="BW527" s="34"/>
      <c r="BX527" s="34"/>
      <c r="BY527" s="4"/>
    </row>
    <row r="528" spans="1:77">
      <c r="A528" s="57"/>
      <c r="B528" s="12"/>
      <c r="C528" s="13"/>
      <c r="D528" s="13"/>
      <c r="E528" s="14"/>
      <c r="F528" s="13"/>
      <c r="G528" s="13"/>
      <c r="H528" s="13"/>
      <c r="I528" s="13"/>
      <c r="J528" s="13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43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13"/>
      <c r="BJ528" s="13"/>
      <c r="BK528" s="13"/>
      <c r="BL528" s="46"/>
      <c r="BM528" s="46"/>
      <c r="BN528" s="46"/>
      <c r="BO528" s="46"/>
      <c r="BP528" s="46"/>
      <c r="BQ528" s="46"/>
      <c r="BR528" s="34"/>
      <c r="BS528" s="34"/>
      <c r="BT528" s="34"/>
      <c r="BU528" s="34"/>
      <c r="BV528" s="34"/>
      <c r="BW528" s="34"/>
      <c r="BX528" s="34"/>
      <c r="BY528" s="4"/>
    </row>
    <row r="529" spans="1:77">
      <c r="A529" s="57"/>
      <c r="B529" s="13"/>
      <c r="C529" s="13"/>
      <c r="D529" s="13"/>
      <c r="E529" s="14"/>
      <c r="F529" s="13"/>
      <c r="G529" s="13"/>
      <c r="H529" s="13"/>
      <c r="I529" s="13"/>
      <c r="J529" s="13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43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13"/>
      <c r="BJ529" s="13"/>
      <c r="BK529" s="13"/>
      <c r="BL529" s="46"/>
      <c r="BM529" s="46"/>
      <c r="BN529" s="46"/>
      <c r="BO529" s="46"/>
      <c r="BP529" s="46"/>
      <c r="BQ529" s="46"/>
      <c r="BR529" s="34"/>
      <c r="BS529" s="34"/>
      <c r="BT529" s="34"/>
      <c r="BU529" s="34"/>
      <c r="BV529" s="34"/>
      <c r="BW529" s="34"/>
      <c r="BX529" s="34"/>
      <c r="BY529" s="4"/>
    </row>
    <row r="530" spans="1:77">
      <c r="A530" s="57"/>
      <c r="B530" s="13"/>
      <c r="C530" s="13"/>
      <c r="D530" s="13"/>
      <c r="E530" s="14"/>
      <c r="F530" s="13"/>
      <c r="G530" s="13"/>
      <c r="H530" s="13"/>
      <c r="I530" s="13"/>
      <c r="J530" s="13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43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13"/>
      <c r="BJ530" s="13"/>
      <c r="BK530" s="13"/>
      <c r="BL530" s="46"/>
      <c r="BM530" s="46"/>
      <c r="BN530" s="46"/>
      <c r="BO530" s="46"/>
      <c r="BP530" s="46"/>
      <c r="BQ530" s="46"/>
      <c r="BR530" s="34"/>
      <c r="BS530" s="34"/>
      <c r="BT530" s="34"/>
      <c r="BU530" s="34"/>
      <c r="BV530" s="34"/>
      <c r="BW530" s="34"/>
      <c r="BX530" s="34"/>
      <c r="BY530" s="4"/>
    </row>
    <row r="531" spans="1:77">
      <c r="A531" s="57"/>
      <c r="B531" s="13"/>
      <c r="C531" s="13"/>
      <c r="D531" s="13"/>
      <c r="E531" s="14"/>
      <c r="F531" s="13"/>
      <c r="G531" s="13"/>
      <c r="H531" s="13"/>
      <c r="I531" s="13"/>
      <c r="J531" s="13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43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13"/>
      <c r="BJ531" s="13"/>
      <c r="BK531" s="13"/>
      <c r="BL531" s="46"/>
      <c r="BM531" s="46"/>
      <c r="BN531" s="46"/>
      <c r="BO531" s="46"/>
      <c r="BP531" s="46"/>
      <c r="BQ531" s="46"/>
      <c r="BR531" s="34"/>
      <c r="BS531" s="34"/>
      <c r="BT531" s="34"/>
      <c r="BU531" s="34"/>
      <c r="BV531" s="34"/>
      <c r="BW531" s="34"/>
      <c r="BX531" s="34"/>
      <c r="BY531" s="4"/>
    </row>
    <row r="532" spans="1:77">
      <c r="A532" s="57"/>
      <c r="B532" s="12"/>
      <c r="C532" s="13"/>
      <c r="D532" s="13"/>
      <c r="E532" s="14"/>
      <c r="F532" s="13"/>
      <c r="G532" s="13"/>
      <c r="H532" s="13"/>
      <c r="I532" s="13"/>
      <c r="J532" s="13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43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13"/>
      <c r="BJ532" s="13"/>
      <c r="BK532" s="13"/>
      <c r="BL532" s="46"/>
      <c r="BM532" s="46"/>
      <c r="BN532" s="46"/>
      <c r="BO532" s="46"/>
      <c r="BP532" s="46"/>
      <c r="BQ532" s="46"/>
      <c r="BR532" s="34"/>
      <c r="BS532" s="34"/>
      <c r="BT532" s="34"/>
      <c r="BU532" s="34"/>
      <c r="BV532" s="34"/>
      <c r="BW532" s="34"/>
      <c r="BX532" s="34"/>
      <c r="BY532" s="4"/>
    </row>
    <row r="533" spans="1:77">
      <c r="A533" s="57"/>
      <c r="B533" s="13"/>
      <c r="C533" s="13"/>
      <c r="D533" s="13"/>
      <c r="E533" s="14"/>
      <c r="F533" s="13"/>
      <c r="G533" s="13"/>
      <c r="H533" s="13"/>
      <c r="I533" s="13"/>
      <c r="J533" s="13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43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13"/>
      <c r="BJ533" s="13"/>
      <c r="BK533" s="13"/>
      <c r="BL533" s="46"/>
      <c r="BM533" s="46"/>
      <c r="BN533" s="46"/>
      <c r="BO533" s="46"/>
      <c r="BP533" s="46"/>
      <c r="BQ533" s="46"/>
      <c r="BR533" s="34"/>
      <c r="BS533" s="34"/>
      <c r="BT533" s="34"/>
      <c r="BU533" s="34"/>
      <c r="BV533" s="34"/>
      <c r="BW533" s="34"/>
      <c r="BX533" s="34"/>
      <c r="BY533" s="4"/>
    </row>
    <row r="534" spans="1:77">
      <c r="A534" s="57"/>
      <c r="B534" s="13"/>
      <c r="C534" s="13"/>
      <c r="D534" s="13"/>
      <c r="E534" s="14"/>
      <c r="F534" s="13"/>
      <c r="G534" s="13"/>
      <c r="H534" s="13"/>
      <c r="I534" s="13"/>
      <c r="J534" s="13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43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13"/>
      <c r="BJ534" s="13"/>
      <c r="BK534" s="13"/>
      <c r="BL534" s="46"/>
      <c r="BM534" s="46"/>
      <c r="BN534" s="46"/>
      <c r="BO534" s="46"/>
      <c r="BP534" s="46"/>
      <c r="BQ534" s="46"/>
      <c r="BR534" s="34"/>
      <c r="BS534" s="34"/>
      <c r="BT534" s="34"/>
      <c r="BU534" s="34"/>
      <c r="BV534" s="34"/>
      <c r="BW534" s="34"/>
      <c r="BX534" s="34"/>
      <c r="BY534" s="4"/>
    </row>
    <row r="535" spans="1:77">
      <c r="A535" s="57"/>
      <c r="B535" s="12"/>
      <c r="C535" s="13"/>
      <c r="D535" s="13"/>
      <c r="E535" s="14"/>
      <c r="F535" s="13"/>
      <c r="G535" s="13"/>
      <c r="H535" s="13"/>
      <c r="I535" s="13"/>
      <c r="J535" s="13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13"/>
      <c r="BJ535" s="13"/>
      <c r="BK535" s="13"/>
      <c r="BL535" s="46"/>
      <c r="BM535" s="46"/>
      <c r="BN535" s="46"/>
      <c r="BO535" s="46"/>
      <c r="BP535" s="46"/>
      <c r="BQ535" s="46"/>
      <c r="BR535" s="34"/>
      <c r="BS535" s="34"/>
      <c r="BT535" s="34"/>
      <c r="BU535" s="34"/>
      <c r="BV535" s="34"/>
      <c r="BW535" s="34"/>
      <c r="BX535" s="34"/>
      <c r="BY535" s="4"/>
    </row>
    <row r="536" spans="1:77">
      <c r="A536" s="57"/>
      <c r="B536" s="12"/>
      <c r="C536" s="13"/>
      <c r="D536" s="13"/>
      <c r="E536" s="14"/>
      <c r="F536" s="13"/>
      <c r="G536" s="13"/>
      <c r="H536" s="13"/>
      <c r="I536" s="13"/>
      <c r="J536" s="13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13"/>
      <c r="BJ536" s="13"/>
      <c r="BK536" s="13"/>
      <c r="BL536" s="46"/>
      <c r="BM536" s="46"/>
      <c r="BN536" s="46"/>
      <c r="BO536" s="46"/>
      <c r="BP536" s="46"/>
      <c r="BQ536" s="46"/>
      <c r="BR536" s="34"/>
      <c r="BS536" s="34"/>
      <c r="BT536" s="34"/>
      <c r="BU536" s="34"/>
      <c r="BV536" s="34"/>
      <c r="BW536" s="34"/>
      <c r="BX536" s="34"/>
      <c r="BY536" s="4"/>
    </row>
    <row r="537" spans="1:77">
      <c r="A537" s="57"/>
      <c r="B537" s="13"/>
      <c r="C537" s="13"/>
      <c r="D537" s="13"/>
      <c r="E537" s="14"/>
      <c r="F537" s="13"/>
      <c r="G537" s="13"/>
      <c r="H537" s="13"/>
      <c r="I537" s="13"/>
      <c r="J537" s="13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13"/>
      <c r="BJ537" s="13"/>
      <c r="BK537" s="13"/>
      <c r="BL537" s="46"/>
      <c r="BM537" s="46"/>
      <c r="BN537" s="46"/>
      <c r="BO537" s="46"/>
      <c r="BP537" s="46"/>
      <c r="BQ537" s="46"/>
      <c r="BR537" s="34"/>
      <c r="BS537" s="34"/>
      <c r="BT537" s="34"/>
      <c r="BU537" s="34"/>
      <c r="BV537" s="34"/>
      <c r="BW537" s="34"/>
      <c r="BX537" s="34"/>
      <c r="BY537" s="4"/>
    </row>
    <row r="538" spans="1:77">
      <c r="A538" s="57"/>
      <c r="B538" s="15"/>
      <c r="C538" s="13"/>
      <c r="D538" s="13"/>
      <c r="E538" s="14"/>
      <c r="F538" s="13"/>
      <c r="G538" s="13"/>
      <c r="H538" s="13"/>
      <c r="I538" s="13"/>
      <c r="J538" s="13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13"/>
      <c r="BJ538" s="13"/>
      <c r="BK538" s="13"/>
      <c r="BL538" s="46"/>
      <c r="BM538" s="46"/>
      <c r="BN538" s="46"/>
      <c r="BO538" s="46"/>
      <c r="BP538" s="46"/>
      <c r="BQ538" s="46"/>
      <c r="BR538" s="34"/>
      <c r="BS538" s="34"/>
      <c r="BT538" s="34"/>
      <c r="BU538" s="34"/>
      <c r="BV538" s="34"/>
      <c r="BW538" s="34"/>
      <c r="BX538" s="34"/>
      <c r="BY538" s="4"/>
    </row>
    <row r="539" spans="1:77">
      <c r="A539" s="57"/>
      <c r="B539" s="12"/>
      <c r="C539" s="13"/>
      <c r="D539" s="13"/>
      <c r="E539" s="14"/>
      <c r="F539" s="13"/>
      <c r="G539" s="13"/>
      <c r="H539" s="13"/>
      <c r="I539" s="13"/>
      <c r="J539" s="13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13"/>
      <c r="BJ539" s="13"/>
      <c r="BK539" s="13"/>
      <c r="BL539" s="46"/>
      <c r="BM539" s="46"/>
      <c r="BN539" s="46"/>
      <c r="BO539" s="46"/>
      <c r="BP539" s="46"/>
      <c r="BQ539" s="46"/>
      <c r="BR539" s="34"/>
      <c r="BS539" s="34"/>
      <c r="BT539" s="34"/>
      <c r="BU539" s="34"/>
      <c r="BV539" s="34"/>
      <c r="BW539" s="34"/>
      <c r="BX539" s="34"/>
      <c r="BY539" s="4"/>
    </row>
    <row r="540" spans="1:77">
      <c r="A540" s="57"/>
      <c r="B540" s="13"/>
      <c r="C540" s="13"/>
      <c r="D540" s="13"/>
      <c r="E540" s="14"/>
      <c r="F540" s="13"/>
      <c r="G540" s="13"/>
      <c r="H540" s="13"/>
      <c r="I540" s="13"/>
      <c r="J540" s="13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13"/>
      <c r="BJ540" s="13"/>
      <c r="BK540" s="13"/>
      <c r="BL540" s="46"/>
      <c r="BM540" s="46"/>
      <c r="BN540" s="46"/>
      <c r="BO540" s="46"/>
      <c r="BP540" s="46"/>
      <c r="BQ540" s="46"/>
      <c r="BR540" s="34"/>
      <c r="BS540" s="34"/>
      <c r="BT540" s="34"/>
      <c r="BU540" s="34"/>
      <c r="BV540" s="34"/>
      <c r="BW540" s="34"/>
      <c r="BX540" s="34"/>
      <c r="BY540" s="4"/>
    </row>
    <row r="541" spans="1:77">
      <c r="A541" s="57"/>
      <c r="B541" s="13"/>
      <c r="C541" s="13"/>
      <c r="D541" s="13"/>
      <c r="E541" s="14"/>
      <c r="F541" s="13"/>
      <c r="G541" s="13"/>
      <c r="H541" s="13"/>
      <c r="I541" s="13"/>
      <c r="J541" s="13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43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13"/>
      <c r="BJ541" s="13"/>
      <c r="BK541" s="13"/>
      <c r="BL541" s="46"/>
      <c r="BM541" s="46"/>
      <c r="BN541" s="46"/>
      <c r="BO541" s="46"/>
      <c r="BP541" s="46"/>
      <c r="BQ541" s="46"/>
      <c r="BR541" s="34"/>
      <c r="BS541" s="34"/>
      <c r="BT541" s="34"/>
      <c r="BU541" s="34"/>
      <c r="BV541" s="34"/>
      <c r="BW541" s="34"/>
      <c r="BX541" s="34"/>
      <c r="BY541" s="4"/>
    </row>
    <row r="542" spans="1:77">
      <c r="A542" s="57"/>
      <c r="B542" s="13"/>
      <c r="C542" s="13"/>
      <c r="D542" s="13"/>
      <c r="E542" s="14"/>
      <c r="F542" s="13"/>
      <c r="G542" s="13"/>
      <c r="H542" s="13"/>
      <c r="I542" s="13"/>
      <c r="J542" s="13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43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13"/>
      <c r="BJ542" s="13"/>
      <c r="BK542" s="13"/>
      <c r="BL542" s="46"/>
      <c r="BM542" s="46"/>
      <c r="BN542" s="46"/>
      <c r="BO542" s="46"/>
      <c r="BP542" s="46"/>
      <c r="BQ542" s="46"/>
      <c r="BR542" s="34"/>
      <c r="BS542" s="34"/>
      <c r="BT542" s="34"/>
      <c r="BU542" s="34"/>
      <c r="BV542" s="34"/>
      <c r="BW542" s="34"/>
      <c r="BX542" s="34"/>
      <c r="BY542" s="4"/>
    </row>
    <row r="543" spans="1:77">
      <c r="A543" s="57"/>
      <c r="B543" s="13"/>
      <c r="C543" s="13"/>
      <c r="D543" s="13"/>
      <c r="E543" s="14"/>
      <c r="F543" s="13"/>
      <c r="G543" s="13"/>
      <c r="H543" s="13"/>
      <c r="I543" s="13"/>
      <c r="J543" s="13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13"/>
      <c r="BJ543" s="13"/>
      <c r="BK543" s="13"/>
      <c r="BL543" s="46"/>
      <c r="BM543" s="46"/>
      <c r="BN543" s="46"/>
      <c r="BO543" s="46"/>
      <c r="BP543" s="46"/>
      <c r="BQ543" s="46"/>
      <c r="BR543" s="34"/>
      <c r="BS543" s="34"/>
      <c r="BT543" s="34"/>
      <c r="BU543" s="34"/>
      <c r="BV543" s="34"/>
      <c r="BW543" s="34"/>
      <c r="BX543" s="34"/>
      <c r="BY543" s="4"/>
    </row>
    <row r="544" spans="1:77">
      <c r="A544" s="57"/>
      <c r="B544" s="13"/>
      <c r="C544" s="13"/>
      <c r="D544" s="13"/>
      <c r="E544" s="14"/>
      <c r="F544" s="13"/>
      <c r="G544" s="13"/>
      <c r="H544" s="13"/>
      <c r="I544" s="13"/>
      <c r="J544" s="13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13"/>
      <c r="BJ544" s="13"/>
      <c r="BK544" s="13"/>
      <c r="BL544" s="46"/>
      <c r="BM544" s="46"/>
      <c r="BN544" s="46"/>
      <c r="BO544" s="46"/>
      <c r="BP544" s="46"/>
      <c r="BQ544" s="46"/>
      <c r="BR544" s="34"/>
      <c r="BS544" s="34"/>
      <c r="BT544" s="34"/>
      <c r="BU544" s="34"/>
      <c r="BV544" s="34"/>
      <c r="BW544" s="34"/>
      <c r="BX544" s="34"/>
      <c r="BY544" s="4"/>
    </row>
    <row r="545" spans="1:77">
      <c r="A545" s="57"/>
      <c r="B545" s="13"/>
      <c r="C545" s="13"/>
      <c r="D545" s="13"/>
      <c r="E545" s="14"/>
      <c r="F545" s="13"/>
      <c r="G545" s="13"/>
      <c r="H545" s="13"/>
      <c r="I545" s="13"/>
      <c r="J545" s="13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13"/>
      <c r="BJ545" s="13"/>
      <c r="BK545" s="13"/>
      <c r="BL545" s="46"/>
      <c r="BM545" s="46"/>
      <c r="BN545" s="46"/>
      <c r="BO545" s="46"/>
      <c r="BP545" s="46"/>
      <c r="BQ545" s="46"/>
      <c r="BR545" s="34"/>
      <c r="BS545" s="34"/>
      <c r="BT545" s="34"/>
      <c r="BU545" s="34"/>
      <c r="BV545" s="34"/>
      <c r="BW545" s="34"/>
      <c r="BX545" s="34"/>
      <c r="BY545" s="4"/>
    </row>
    <row r="546" spans="1:77">
      <c r="A546" s="57"/>
      <c r="B546" s="13"/>
      <c r="C546" s="13"/>
      <c r="D546" s="13"/>
      <c r="E546" s="14"/>
      <c r="F546" s="13"/>
      <c r="G546" s="13"/>
      <c r="H546" s="13"/>
      <c r="I546" s="13"/>
      <c r="J546" s="13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13"/>
      <c r="BJ546" s="13"/>
      <c r="BK546" s="13"/>
      <c r="BL546" s="46"/>
      <c r="BM546" s="46"/>
      <c r="BN546" s="46"/>
      <c r="BO546" s="46"/>
      <c r="BP546" s="46"/>
      <c r="BQ546" s="46"/>
      <c r="BR546" s="34"/>
      <c r="BS546" s="34"/>
      <c r="BT546" s="34"/>
      <c r="BU546" s="34"/>
      <c r="BV546" s="34"/>
      <c r="BW546" s="34"/>
      <c r="BX546" s="34"/>
      <c r="BY546" s="4"/>
    </row>
    <row r="547" spans="1:77">
      <c r="A547" s="57"/>
      <c r="B547" s="12"/>
      <c r="C547" s="13"/>
      <c r="D547" s="13"/>
      <c r="E547" s="14"/>
      <c r="F547" s="13"/>
      <c r="G547" s="13"/>
      <c r="H547" s="13"/>
      <c r="I547" s="13"/>
      <c r="J547" s="13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43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13"/>
      <c r="BJ547" s="13"/>
      <c r="BK547" s="13"/>
      <c r="BL547" s="46"/>
      <c r="BM547" s="46"/>
      <c r="BN547" s="46"/>
      <c r="BO547" s="46"/>
      <c r="BP547" s="46"/>
      <c r="BQ547" s="46"/>
      <c r="BR547" s="34"/>
      <c r="BS547" s="34"/>
      <c r="BT547" s="34"/>
      <c r="BU547" s="34"/>
      <c r="BV547" s="34"/>
      <c r="BW547" s="34"/>
      <c r="BX547" s="34"/>
      <c r="BY547" s="4"/>
    </row>
    <row r="548" spans="1:77">
      <c r="A548" s="1" t="s">
        <v>76</v>
      </c>
      <c r="B548" s="13"/>
      <c r="C548" s="13"/>
      <c r="D548" s="13"/>
      <c r="E548" s="14">
        <f>SUM(E469:E547)</f>
        <v>0</v>
      </c>
      <c r="F548" s="13"/>
      <c r="G548" s="13">
        <f t="shared" ref="G548:N548" si="19">SUM(G469:G547)</f>
        <v>0</v>
      </c>
      <c r="H548" s="13">
        <f t="shared" si="19"/>
        <v>0</v>
      </c>
      <c r="I548" s="13">
        <f t="shared" si="19"/>
        <v>0</v>
      </c>
      <c r="J548" s="13">
        <f t="shared" si="19"/>
        <v>0</v>
      </c>
      <c r="K548" s="34">
        <f t="shared" si="19"/>
        <v>0</v>
      </c>
      <c r="L548" s="34">
        <f t="shared" si="19"/>
        <v>0</v>
      </c>
      <c r="M548" s="34">
        <f t="shared" si="19"/>
        <v>0</v>
      </c>
      <c r="N548" s="34">
        <f t="shared" si="19"/>
        <v>0</v>
      </c>
      <c r="O548" s="34"/>
      <c r="P548" s="34">
        <f t="shared" ref="P548:U548" si="20">SUM(P469:P547)</f>
        <v>0</v>
      </c>
      <c r="Q548" s="34">
        <f t="shared" si="20"/>
        <v>0</v>
      </c>
      <c r="R548" s="34">
        <f t="shared" si="20"/>
        <v>0</v>
      </c>
      <c r="S548" s="34">
        <f t="shared" si="20"/>
        <v>0</v>
      </c>
      <c r="T548" s="34">
        <f t="shared" si="20"/>
        <v>0</v>
      </c>
      <c r="U548" s="34">
        <f t="shared" si="20"/>
        <v>0</v>
      </c>
      <c r="V548" s="34"/>
      <c r="W548" s="34">
        <f t="shared" ref="W548:BB548" si="21">SUM(W469:W547)</f>
        <v>0</v>
      </c>
      <c r="X548" s="3">
        <f t="shared" si="21"/>
        <v>0</v>
      </c>
      <c r="Y548" s="39">
        <f t="shared" si="21"/>
        <v>0</v>
      </c>
      <c r="Z548" s="39">
        <f t="shared" si="21"/>
        <v>0</v>
      </c>
      <c r="AA548" s="39">
        <f t="shared" si="21"/>
        <v>0</v>
      </c>
      <c r="AB548" s="39">
        <f t="shared" si="21"/>
        <v>0</v>
      </c>
      <c r="AC548" s="39">
        <f t="shared" si="21"/>
        <v>0</v>
      </c>
      <c r="AD548" s="39">
        <f t="shared" si="21"/>
        <v>0</v>
      </c>
      <c r="AE548" s="39">
        <f t="shared" si="21"/>
        <v>0</v>
      </c>
      <c r="AF548" s="39">
        <f t="shared" si="21"/>
        <v>0</v>
      </c>
      <c r="AG548" s="39">
        <f t="shared" si="21"/>
        <v>0</v>
      </c>
      <c r="AH548" s="39">
        <f t="shared" si="21"/>
        <v>0</v>
      </c>
      <c r="AI548" s="39">
        <f t="shared" si="21"/>
        <v>0</v>
      </c>
      <c r="AJ548" s="39">
        <f t="shared" si="21"/>
        <v>0</v>
      </c>
      <c r="AK548" s="39">
        <f t="shared" si="21"/>
        <v>0</v>
      </c>
      <c r="AL548" s="39">
        <f t="shared" si="21"/>
        <v>0</v>
      </c>
      <c r="AM548" s="28">
        <f t="shared" si="21"/>
        <v>0</v>
      </c>
      <c r="AN548" s="28">
        <f t="shared" si="21"/>
        <v>0</v>
      </c>
      <c r="AO548" s="28">
        <f t="shared" si="21"/>
        <v>0</v>
      </c>
      <c r="AP548" s="28">
        <f t="shared" si="21"/>
        <v>0</v>
      </c>
      <c r="AQ548" s="28">
        <f t="shared" si="21"/>
        <v>0</v>
      </c>
      <c r="AR548" s="28">
        <f t="shared" si="21"/>
        <v>0</v>
      </c>
      <c r="AS548" s="28">
        <f t="shared" si="21"/>
        <v>0</v>
      </c>
      <c r="AT548" s="28">
        <f t="shared" si="21"/>
        <v>0</v>
      </c>
      <c r="AU548" s="28">
        <f t="shared" si="21"/>
        <v>0</v>
      </c>
      <c r="AV548" s="28">
        <f t="shared" si="21"/>
        <v>0</v>
      </c>
      <c r="AW548" s="28">
        <f t="shared" si="21"/>
        <v>0</v>
      </c>
      <c r="AX548" s="43">
        <f t="shared" si="21"/>
        <v>0</v>
      </c>
      <c r="AY548" s="43">
        <f t="shared" si="21"/>
        <v>0</v>
      </c>
      <c r="AZ548" s="43">
        <f t="shared" si="21"/>
        <v>0</v>
      </c>
      <c r="BA548" s="43">
        <f t="shared" si="21"/>
        <v>0</v>
      </c>
      <c r="BB548" s="43">
        <f t="shared" si="21"/>
        <v>0</v>
      </c>
      <c r="BC548" s="43">
        <f t="shared" ref="BC548:BW548" si="22">SUM(BC469:BC547)</f>
        <v>0</v>
      </c>
      <c r="BD548" s="43">
        <f t="shared" si="22"/>
        <v>0</v>
      </c>
      <c r="BE548" s="43">
        <f t="shared" si="22"/>
        <v>0</v>
      </c>
      <c r="BF548" s="43">
        <f t="shared" si="22"/>
        <v>0</v>
      </c>
      <c r="BG548" s="43">
        <f t="shared" si="22"/>
        <v>0</v>
      </c>
      <c r="BH548" s="43">
        <f t="shared" si="22"/>
        <v>0</v>
      </c>
      <c r="BI548" s="13">
        <f t="shared" si="22"/>
        <v>0</v>
      </c>
      <c r="BJ548" s="13">
        <f t="shared" si="22"/>
        <v>0</v>
      </c>
      <c r="BK548" s="13">
        <f t="shared" si="22"/>
        <v>0</v>
      </c>
      <c r="BL548" s="46">
        <f t="shared" si="22"/>
        <v>0</v>
      </c>
      <c r="BM548" s="46">
        <f t="shared" si="22"/>
        <v>0</v>
      </c>
      <c r="BN548" s="46">
        <f t="shared" si="22"/>
        <v>0</v>
      </c>
      <c r="BO548" s="46">
        <f t="shared" si="22"/>
        <v>0</v>
      </c>
      <c r="BP548" s="46">
        <f t="shared" si="22"/>
        <v>0</v>
      </c>
      <c r="BQ548" s="46">
        <f t="shared" si="22"/>
        <v>0</v>
      </c>
      <c r="BR548" s="34">
        <f t="shared" si="22"/>
        <v>0</v>
      </c>
      <c r="BS548" s="34">
        <f t="shared" si="22"/>
        <v>0</v>
      </c>
      <c r="BT548" s="34">
        <f t="shared" si="22"/>
        <v>0</v>
      </c>
      <c r="BU548" s="34">
        <f t="shared" si="22"/>
        <v>0</v>
      </c>
      <c r="BV548" s="34">
        <f t="shared" si="22"/>
        <v>0</v>
      </c>
      <c r="BW548" s="34">
        <f t="shared" si="22"/>
        <v>0</v>
      </c>
      <c r="BX548" s="34"/>
      <c r="BY548" s="4"/>
    </row>
    <row r="549" spans="1:77">
      <c r="B549" s="18"/>
      <c r="C549" s="18"/>
      <c r="D549" s="18"/>
      <c r="E549" s="18"/>
      <c r="F549" s="18"/>
      <c r="G549" s="18"/>
      <c r="H549" s="18"/>
      <c r="I549" s="18"/>
      <c r="J549" s="18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18"/>
      <c r="BJ549" s="18"/>
      <c r="BK549" s="18"/>
      <c r="BL549" s="47"/>
      <c r="BM549" s="47"/>
      <c r="BN549" s="47"/>
      <c r="BO549" s="47"/>
      <c r="BP549" s="47"/>
      <c r="BQ549" s="47"/>
      <c r="BR549" s="35"/>
      <c r="BS549" s="35"/>
      <c r="BT549" s="35"/>
      <c r="BU549" s="35"/>
      <c r="BV549" s="35"/>
      <c r="BW549" s="35"/>
      <c r="BX549" s="35"/>
    </row>
    <row r="550" spans="1:77" ht="159.6">
      <c r="A550" s="2" t="s">
        <v>77</v>
      </c>
      <c r="B550" s="11" t="s">
        <v>1</v>
      </c>
      <c r="C550" s="11" t="s">
        <v>2</v>
      </c>
      <c r="D550" s="11" t="s">
        <v>3</v>
      </c>
      <c r="E550" s="11" t="s">
        <v>4</v>
      </c>
      <c r="F550" s="11" t="s">
        <v>5</v>
      </c>
      <c r="G550" s="11" t="s">
        <v>6</v>
      </c>
      <c r="H550" s="11" t="s">
        <v>7</v>
      </c>
      <c r="I550" s="11" t="s">
        <v>8</v>
      </c>
      <c r="J550" s="11" t="s">
        <v>9</v>
      </c>
      <c r="K550" s="33" t="s">
        <v>10</v>
      </c>
      <c r="L550" s="33" t="s">
        <v>11</v>
      </c>
      <c r="M550" s="33" t="s">
        <v>12</v>
      </c>
      <c r="N550" s="33" t="s">
        <v>13</v>
      </c>
      <c r="O550" s="33" t="s">
        <v>14</v>
      </c>
      <c r="P550" s="33" t="s">
        <v>15</v>
      </c>
      <c r="Q550" s="33" t="s">
        <v>16</v>
      </c>
      <c r="R550" s="33" t="s">
        <v>17</v>
      </c>
      <c r="S550" s="33" t="s">
        <v>18</v>
      </c>
      <c r="T550" s="33" t="s">
        <v>79</v>
      </c>
      <c r="U550" s="33" t="s">
        <v>20</v>
      </c>
      <c r="V550" s="33"/>
      <c r="W550" s="33"/>
      <c r="X550" s="9" t="s">
        <v>95</v>
      </c>
      <c r="Y550" s="38" t="s">
        <v>24</v>
      </c>
      <c r="Z550" s="38" t="s">
        <v>25</v>
      </c>
      <c r="AA550" s="38" t="s">
        <v>26</v>
      </c>
      <c r="AB550" s="38" t="s">
        <v>96</v>
      </c>
      <c r="AC550" s="38" t="s">
        <v>28</v>
      </c>
      <c r="AD550" s="38" t="s">
        <v>29</v>
      </c>
      <c r="AE550" s="38" t="s">
        <v>30</v>
      </c>
      <c r="AF550" s="38" t="s">
        <v>31</v>
      </c>
      <c r="AG550" s="38" t="s">
        <v>32</v>
      </c>
      <c r="AH550" s="38" t="s">
        <v>33</v>
      </c>
      <c r="AI550" s="38" t="s">
        <v>34</v>
      </c>
      <c r="AJ550" s="38" t="s">
        <v>35</v>
      </c>
      <c r="AK550" s="38" t="s">
        <v>97</v>
      </c>
      <c r="AL550" s="38" t="s">
        <v>37</v>
      </c>
      <c r="AM550" s="27" t="s">
        <v>38</v>
      </c>
      <c r="AN550" s="27" t="s">
        <v>39</v>
      </c>
      <c r="AO550" s="27" t="s">
        <v>40</v>
      </c>
      <c r="AP550" s="27" t="s">
        <v>41</v>
      </c>
      <c r="AQ550" s="27" t="s">
        <v>42</v>
      </c>
      <c r="AR550" s="27" t="s">
        <v>43</v>
      </c>
      <c r="AS550" s="27" t="s">
        <v>44</v>
      </c>
      <c r="AT550" s="27" t="s">
        <v>45</v>
      </c>
      <c r="AU550" s="27" t="s">
        <v>46</v>
      </c>
      <c r="AV550" s="27" t="s">
        <v>47</v>
      </c>
      <c r="AW550" s="27" t="s">
        <v>37</v>
      </c>
      <c r="AX550" s="42" t="s">
        <v>48</v>
      </c>
      <c r="AY550" s="42" t="s">
        <v>49</v>
      </c>
      <c r="AZ550" s="42" t="s">
        <v>50</v>
      </c>
      <c r="BA550" s="42" t="s">
        <v>51</v>
      </c>
      <c r="BB550" s="42" t="s">
        <v>52</v>
      </c>
      <c r="BC550" s="42" t="s">
        <v>53</v>
      </c>
      <c r="BD550" s="42" t="s">
        <v>54</v>
      </c>
      <c r="BE550" s="42" t="s">
        <v>55</v>
      </c>
      <c r="BF550" s="42" t="s">
        <v>56</v>
      </c>
      <c r="BG550" s="42" t="s">
        <v>57</v>
      </c>
      <c r="BH550" s="42" t="s">
        <v>58</v>
      </c>
      <c r="BI550" s="11" t="s">
        <v>28</v>
      </c>
      <c r="BJ550" s="11" t="s">
        <v>59</v>
      </c>
      <c r="BK550" s="11" t="s">
        <v>60</v>
      </c>
      <c r="BL550" s="32" t="s">
        <v>61</v>
      </c>
      <c r="BM550" s="32" t="s">
        <v>62</v>
      </c>
      <c r="BN550" s="32" t="s">
        <v>63</v>
      </c>
      <c r="BO550" s="32" t="s">
        <v>64</v>
      </c>
      <c r="BP550" s="32" t="s">
        <v>65</v>
      </c>
      <c r="BQ550" s="32" t="s">
        <v>66</v>
      </c>
      <c r="BR550" s="33" t="s">
        <v>67</v>
      </c>
      <c r="BS550" s="33" t="s">
        <v>68</v>
      </c>
      <c r="BT550" s="33" t="s">
        <v>69</v>
      </c>
      <c r="BU550" s="33" t="s">
        <v>70</v>
      </c>
      <c r="BV550" s="33" t="s">
        <v>71</v>
      </c>
      <c r="BW550" s="33" t="s">
        <v>82</v>
      </c>
      <c r="BX550" s="33" t="s">
        <v>73</v>
      </c>
      <c r="BY550" s="10" t="s">
        <v>74</v>
      </c>
    </row>
    <row r="551" spans="1:77">
      <c r="A551" s="57" t="s">
        <v>98</v>
      </c>
      <c r="B551" s="12"/>
      <c r="C551" s="13"/>
      <c r="D551" s="13"/>
      <c r="E551" s="14"/>
      <c r="F551" s="13"/>
      <c r="G551" s="13"/>
      <c r="H551" s="13"/>
      <c r="I551" s="13"/>
      <c r="J551" s="13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13"/>
      <c r="BJ551" s="13"/>
      <c r="BK551" s="13"/>
      <c r="BL551" s="46"/>
      <c r="BM551" s="46"/>
      <c r="BN551" s="46"/>
      <c r="BO551" s="46"/>
      <c r="BP551" s="46"/>
      <c r="BQ551" s="46"/>
      <c r="BR551" s="34"/>
      <c r="BS551" s="34"/>
      <c r="BT551" s="34"/>
      <c r="BU551" s="34"/>
      <c r="BV551" s="34"/>
      <c r="BW551" s="34"/>
      <c r="BX551" s="34"/>
      <c r="BY551" s="4"/>
    </row>
    <row r="552" spans="1:77">
      <c r="A552" s="57"/>
      <c r="B552" s="12"/>
      <c r="C552" s="13"/>
      <c r="D552" s="13"/>
      <c r="E552" s="14"/>
      <c r="F552" s="13"/>
      <c r="G552" s="13"/>
      <c r="H552" s="13"/>
      <c r="I552" s="13"/>
      <c r="J552" s="13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13"/>
      <c r="BJ552" s="13"/>
      <c r="BK552" s="13"/>
      <c r="BL552" s="46"/>
      <c r="BM552" s="46"/>
      <c r="BN552" s="46"/>
      <c r="BO552" s="46"/>
      <c r="BP552" s="46"/>
      <c r="BQ552" s="46"/>
      <c r="BR552" s="34"/>
      <c r="BS552" s="34"/>
      <c r="BT552" s="34"/>
      <c r="BU552" s="34"/>
      <c r="BV552" s="34"/>
      <c r="BW552" s="34"/>
      <c r="BX552" s="34"/>
      <c r="BY552" s="4"/>
    </row>
    <row r="553" spans="1:77">
      <c r="A553" s="57"/>
      <c r="B553" s="12"/>
      <c r="C553" s="13"/>
      <c r="D553" s="13"/>
      <c r="E553" s="14"/>
      <c r="F553" s="13"/>
      <c r="G553" s="13"/>
      <c r="H553" s="13"/>
      <c r="I553" s="13"/>
      <c r="J553" s="13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13"/>
      <c r="BJ553" s="13"/>
      <c r="BK553" s="13"/>
      <c r="BL553" s="46"/>
      <c r="BM553" s="46"/>
      <c r="BN553" s="46"/>
      <c r="BO553" s="46"/>
      <c r="BP553" s="46"/>
      <c r="BQ553" s="46"/>
      <c r="BR553" s="34"/>
      <c r="BS553" s="34"/>
      <c r="BT553" s="34"/>
      <c r="BU553" s="34"/>
      <c r="BV553" s="34"/>
      <c r="BW553" s="34"/>
      <c r="BX553" s="34"/>
      <c r="BY553" s="4"/>
    </row>
    <row r="554" spans="1:77">
      <c r="A554" s="57"/>
      <c r="B554" s="12"/>
      <c r="C554" s="13"/>
      <c r="D554" s="13"/>
      <c r="E554" s="14"/>
      <c r="F554" s="13"/>
      <c r="G554" s="13"/>
      <c r="H554" s="13"/>
      <c r="I554" s="13"/>
      <c r="J554" s="13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13"/>
      <c r="BJ554" s="13"/>
      <c r="BK554" s="13"/>
      <c r="BL554" s="46"/>
      <c r="BM554" s="46"/>
      <c r="BN554" s="46"/>
      <c r="BO554" s="46"/>
      <c r="BP554" s="46"/>
      <c r="BQ554" s="46"/>
      <c r="BR554" s="34"/>
      <c r="BS554" s="34"/>
      <c r="BT554" s="34"/>
      <c r="BU554" s="34"/>
      <c r="BV554" s="34"/>
      <c r="BW554" s="34"/>
      <c r="BX554" s="34"/>
      <c r="BY554" s="4"/>
    </row>
    <row r="555" spans="1:77">
      <c r="A555" s="57"/>
      <c r="B555" s="12"/>
      <c r="C555" s="13"/>
      <c r="D555" s="13"/>
      <c r="E555" s="14"/>
      <c r="F555" s="13"/>
      <c r="G555" s="13"/>
      <c r="H555" s="13"/>
      <c r="I555" s="13"/>
      <c r="J555" s="13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13"/>
      <c r="BJ555" s="13"/>
      <c r="BK555" s="13"/>
      <c r="BL555" s="46"/>
      <c r="BM555" s="46"/>
      <c r="BN555" s="46"/>
      <c r="BO555" s="46"/>
      <c r="BP555" s="46"/>
      <c r="BQ555" s="46"/>
      <c r="BR555" s="34"/>
      <c r="BS555" s="34"/>
      <c r="BT555" s="34"/>
      <c r="BU555" s="34"/>
      <c r="BV555" s="34"/>
      <c r="BW555" s="34"/>
      <c r="BX555" s="34"/>
      <c r="BY555" s="4"/>
    </row>
    <row r="556" spans="1:77">
      <c r="A556" s="57"/>
      <c r="B556" s="12"/>
      <c r="C556" s="13"/>
      <c r="D556" s="13"/>
      <c r="E556" s="14"/>
      <c r="F556" s="13"/>
      <c r="G556" s="13"/>
      <c r="H556" s="13"/>
      <c r="I556" s="13"/>
      <c r="J556" s="13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13"/>
      <c r="BJ556" s="13"/>
      <c r="BK556" s="13"/>
      <c r="BL556" s="46"/>
      <c r="BM556" s="46"/>
      <c r="BN556" s="46"/>
      <c r="BO556" s="46"/>
      <c r="BP556" s="46"/>
      <c r="BQ556" s="46"/>
      <c r="BR556" s="34"/>
      <c r="BS556" s="34"/>
      <c r="BT556" s="34"/>
      <c r="BU556" s="34"/>
      <c r="BV556" s="34"/>
      <c r="BW556" s="34"/>
      <c r="BX556" s="34"/>
      <c r="BY556" s="4"/>
    </row>
    <row r="557" spans="1:77">
      <c r="A557" s="57"/>
      <c r="B557" s="12"/>
      <c r="C557" s="13"/>
      <c r="D557" s="13"/>
      <c r="E557" s="14"/>
      <c r="F557" s="13"/>
      <c r="G557" s="13"/>
      <c r="H557" s="13"/>
      <c r="I557" s="13"/>
      <c r="J557" s="13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13"/>
      <c r="BJ557" s="13"/>
      <c r="BK557" s="13"/>
      <c r="BL557" s="46"/>
      <c r="BM557" s="46"/>
      <c r="BN557" s="46"/>
      <c r="BO557" s="46"/>
      <c r="BP557" s="46"/>
      <c r="BQ557" s="46"/>
      <c r="BR557" s="34"/>
      <c r="BS557" s="34"/>
      <c r="BT557" s="34"/>
      <c r="BU557" s="34"/>
      <c r="BV557" s="34"/>
      <c r="BW557" s="34"/>
      <c r="BX557" s="34"/>
      <c r="BY557" s="4"/>
    </row>
    <row r="558" spans="1:77">
      <c r="A558" s="57"/>
      <c r="B558" s="12"/>
      <c r="C558" s="13"/>
      <c r="D558" s="13"/>
      <c r="E558" s="14"/>
      <c r="F558" s="13"/>
      <c r="G558" s="13"/>
      <c r="H558" s="13"/>
      <c r="I558" s="13"/>
      <c r="J558" s="13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13"/>
      <c r="BJ558" s="13"/>
      <c r="BK558" s="13"/>
      <c r="BL558" s="46"/>
      <c r="BM558" s="46"/>
      <c r="BN558" s="46"/>
      <c r="BO558" s="46"/>
      <c r="BP558" s="46"/>
      <c r="BQ558" s="46"/>
      <c r="BR558" s="34"/>
      <c r="BS558" s="34"/>
      <c r="BT558" s="34"/>
      <c r="BU558" s="34"/>
      <c r="BV558" s="34"/>
      <c r="BW558" s="34"/>
      <c r="BX558" s="34"/>
      <c r="BY558" s="4"/>
    </row>
    <row r="559" spans="1:77">
      <c r="A559" s="57"/>
      <c r="B559" s="12"/>
      <c r="C559" s="13"/>
      <c r="D559" s="13"/>
      <c r="E559" s="14"/>
      <c r="F559" s="13"/>
      <c r="G559" s="13"/>
      <c r="H559" s="13"/>
      <c r="I559" s="13"/>
      <c r="J559" s="13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13"/>
      <c r="BJ559" s="13"/>
      <c r="BK559" s="13"/>
      <c r="BL559" s="46"/>
      <c r="BM559" s="46"/>
      <c r="BN559" s="46"/>
      <c r="BO559" s="46"/>
      <c r="BP559" s="46"/>
      <c r="BQ559" s="46"/>
      <c r="BR559" s="34"/>
      <c r="BS559" s="34"/>
      <c r="BT559" s="34"/>
      <c r="BU559" s="34"/>
      <c r="BV559" s="34"/>
      <c r="BW559" s="34"/>
      <c r="BX559" s="34"/>
      <c r="BY559" s="4"/>
    </row>
    <row r="560" spans="1:77">
      <c r="A560" s="57"/>
      <c r="B560" s="12"/>
      <c r="C560" s="13"/>
      <c r="D560" s="13"/>
      <c r="E560" s="14"/>
      <c r="F560" s="13"/>
      <c r="G560" s="13"/>
      <c r="H560" s="13"/>
      <c r="I560" s="13"/>
      <c r="J560" s="13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13"/>
      <c r="BJ560" s="13"/>
      <c r="BK560" s="13"/>
      <c r="BL560" s="46"/>
      <c r="BM560" s="46"/>
      <c r="BN560" s="46"/>
      <c r="BO560" s="46"/>
      <c r="BP560" s="46"/>
      <c r="BQ560" s="46"/>
      <c r="BR560" s="34"/>
      <c r="BS560" s="34"/>
      <c r="BT560" s="34"/>
      <c r="BU560" s="34"/>
      <c r="BV560" s="34"/>
      <c r="BW560" s="34"/>
      <c r="BX560" s="34"/>
      <c r="BY560" s="4"/>
    </row>
    <row r="561" spans="1:77">
      <c r="A561" s="57"/>
      <c r="B561" s="12"/>
      <c r="C561" s="13"/>
      <c r="D561" s="13"/>
      <c r="E561" s="14"/>
      <c r="F561" s="13"/>
      <c r="G561" s="13"/>
      <c r="H561" s="13"/>
      <c r="I561" s="13"/>
      <c r="J561" s="13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13"/>
      <c r="BJ561" s="13"/>
      <c r="BK561" s="13"/>
      <c r="BL561" s="46"/>
      <c r="BM561" s="46"/>
      <c r="BN561" s="46"/>
      <c r="BO561" s="46"/>
      <c r="BP561" s="46"/>
      <c r="BQ561" s="46"/>
      <c r="BR561" s="34"/>
      <c r="BS561" s="34"/>
      <c r="BT561" s="34"/>
      <c r="BU561" s="34"/>
      <c r="BV561" s="34"/>
      <c r="BW561" s="34"/>
      <c r="BX561" s="34"/>
      <c r="BY561" s="4"/>
    </row>
    <row r="562" spans="1:77">
      <c r="A562" s="57"/>
      <c r="B562" s="12"/>
      <c r="C562" s="13"/>
      <c r="D562" s="13"/>
      <c r="E562" s="14"/>
      <c r="F562" s="13"/>
      <c r="G562" s="13"/>
      <c r="H562" s="13"/>
      <c r="I562" s="13"/>
      <c r="J562" s="13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43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13"/>
      <c r="BJ562" s="13"/>
      <c r="BK562" s="13"/>
      <c r="BL562" s="46"/>
      <c r="BM562" s="46"/>
      <c r="BN562" s="46"/>
      <c r="BO562" s="46"/>
      <c r="BP562" s="46"/>
      <c r="BQ562" s="46"/>
      <c r="BR562" s="34"/>
      <c r="BS562" s="34"/>
      <c r="BT562" s="34"/>
      <c r="BU562" s="34"/>
      <c r="BV562" s="34"/>
      <c r="BW562" s="34"/>
      <c r="BX562" s="34"/>
      <c r="BY562" s="4"/>
    </row>
    <row r="563" spans="1:77">
      <c r="A563" s="57"/>
      <c r="B563" s="12"/>
      <c r="C563" s="13"/>
      <c r="D563" s="13"/>
      <c r="E563" s="14"/>
      <c r="F563" s="13"/>
      <c r="G563" s="13"/>
      <c r="H563" s="13"/>
      <c r="I563" s="13"/>
      <c r="J563" s="13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43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13"/>
      <c r="BJ563" s="13"/>
      <c r="BK563" s="13"/>
      <c r="BL563" s="46"/>
      <c r="BM563" s="46"/>
      <c r="BN563" s="46"/>
      <c r="BO563" s="46"/>
      <c r="BP563" s="46"/>
      <c r="BQ563" s="46"/>
      <c r="BR563" s="34"/>
      <c r="BS563" s="34"/>
      <c r="BT563" s="34"/>
      <c r="BU563" s="34"/>
      <c r="BV563" s="34"/>
      <c r="BW563" s="34"/>
      <c r="BX563" s="34"/>
      <c r="BY563" s="4"/>
    </row>
    <row r="564" spans="1:77">
      <c r="A564" s="57"/>
      <c r="B564" s="12"/>
      <c r="C564" s="13"/>
      <c r="D564" s="13"/>
      <c r="E564" s="14"/>
      <c r="F564" s="13"/>
      <c r="G564" s="13"/>
      <c r="H564" s="13"/>
      <c r="I564" s="13"/>
      <c r="J564" s="13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13"/>
      <c r="BJ564" s="13"/>
      <c r="BK564" s="13"/>
      <c r="BL564" s="46"/>
      <c r="BM564" s="46"/>
      <c r="BN564" s="46"/>
      <c r="BO564" s="46"/>
      <c r="BP564" s="46"/>
      <c r="BQ564" s="46"/>
      <c r="BR564" s="34"/>
      <c r="BS564" s="34"/>
      <c r="BT564" s="34"/>
      <c r="BU564" s="34"/>
      <c r="BV564" s="34"/>
      <c r="BW564" s="34"/>
      <c r="BX564" s="34"/>
      <c r="BY564" s="4"/>
    </row>
    <row r="565" spans="1:77">
      <c r="A565" s="57"/>
      <c r="B565" s="12"/>
      <c r="C565" s="13"/>
      <c r="D565" s="13"/>
      <c r="E565" s="14"/>
      <c r="F565" s="13"/>
      <c r="G565" s="13"/>
      <c r="H565" s="13"/>
      <c r="I565" s="13"/>
      <c r="J565" s="13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13"/>
      <c r="BJ565" s="13"/>
      <c r="BK565" s="13"/>
      <c r="BL565" s="46"/>
      <c r="BM565" s="46"/>
      <c r="BN565" s="46"/>
      <c r="BO565" s="46"/>
      <c r="BP565" s="46"/>
      <c r="BQ565" s="46"/>
      <c r="BR565" s="34"/>
      <c r="BS565" s="34"/>
      <c r="BT565" s="34"/>
      <c r="BU565" s="34"/>
      <c r="BV565" s="34"/>
      <c r="BW565" s="34"/>
      <c r="BX565" s="34"/>
      <c r="BY565" s="4"/>
    </row>
    <row r="566" spans="1:77">
      <c r="A566" s="57"/>
      <c r="B566" s="12"/>
      <c r="C566" s="13"/>
      <c r="D566" s="13"/>
      <c r="E566" s="14"/>
      <c r="F566" s="13"/>
      <c r="G566" s="13"/>
      <c r="H566" s="13"/>
      <c r="I566" s="13"/>
      <c r="J566" s="13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13"/>
      <c r="BJ566" s="13"/>
      <c r="BK566" s="13"/>
      <c r="BL566" s="46"/>
      <c r="BM566" s="46"/>
      <c r="BN566" s="46"/>
      <c r="BO566" s="46"/>
      <c r="BP566" s="46"/>
      <c r="BQ566" s="46"/>
      <c r="BR566" s="34"/>
      <c r="BS566" s="34"/>
      <c r="BT566" s="34"/>
      <c r="BU566" s="34"/>
      <c r="BV566" s="34"/>
      <c r="BW566" s="34"/>
      <c r="BX566" s="34"/>
      <c r="BY566" s="4"/>
    </row>
    <row r="567" spans="1:77">
      <c r="A567" s="57"/>
      <c r="B567" s="12"/>
      <c r="C567" s="13"/>
      <c r="D567" s="13"/>
      <c r="E567" s="14"/>
      <c r="F567" s="13"/>
      <c r="G567" s="13"/>
      <c r="H567" s="13"/>
      <c r="I567" s="13"/>
      <c r="J567" s="13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13"/>
      <c r="BJ567" s="13"/>
      <c r="BK567" s="13"/>
      <c r="BL567" s="46"/>
      <c r="BM567" s="46"/>
      <c r="BN567" s="46"/>
      <c r="BO567" s="46"/>
      <c r="BP567" s="46"/>
      <c r="BQ567" s="46"/>
      <c r="BR567" s="34"/>
      <c r="BS567" s="34"/>
      <c r="BT567" s="34"/>
      <c r="BU567" s="34"/>
      <c r="BV567" s="34"/>
      <c r="BW567" s="34"/>
      <c r="BX567" s="34"/>
      <c r="BY567" s="4"/>
    </row>
    <row r="568" spans="1:77">
      <c r="A568" s="57"/>
      <c r="B568" s="12"/>
      <c r="C568" s="13"/>
      <c r="D568" s="13"/>
      <c r="E568" s="14"/>
      <c r="F568" s="13"/>
      <c r="G568" s="13"/>
      <c r="H568" s="13"/>
      <c r="I568" s="13"/>
      <c r="J568" s="13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13"/>
      <c r="BJ568" s="13"/>
      <c r="BK568" s="13"/>
      <c r="BL568" s="46"/>
      <c r="BM568" s="46"/>
      <c r="BN568" s="46"/>
      <c r="BO568" s="46"/>
      <c r="BP568" s="46"/>
      <c r="BQ568" s="46"/>
      <c r="BR568" s="34"/>
      <c r="BS568" s="34"/>
      <c r="BT568" s="34"/>
      <c r="BU568" s="34"/>
      <c r="BV568" s="34"/>
      <c r="BW568" s="34"/>
      <c r="BX568" s="34"/>
      <c r="BY568" s="4"/>
    </row>
    <row r="569" spans="1:77">
      <c r="A569" s="57"/>
      <c r="B569" s="12"/>
      <c r="C569" s="13"/>
      <c r="D569" s="13"/>
      <c r="E569" s="14"/>
      <c r="F569" s="13"/>
      <c r="G569" s="13"/>
      <c r="H569" s="13"/>
      <c r="I569" s="13"/>
      <c r="J569" s="13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13"/>
      <c r="BJ569" s="13"/>
      <c r="BK569" s="13"/>
      <c r="BL569" s="46"/>
      <c r="BM569" s="46"/>
      <c r="BN569" s="46"/>
      <c r="BO569" s="46"/>
      <c r="BP569" s="46"/>
      <c r="BQ569" s="46"/>
      <c r="BR569" s="34"/>
      <c r="BS569" s="34"/>
      <c r="BT569" s="34"/>
      <c r="BU569" s="34"/>
      <c r="BV569" s="34"/>
      <c r="BW569" s="34"/>
      <c r="BX569" s="34"/>
      <c r="BY569" s="4"/>
    </row>
    <row r="570" spans="1:77">
      <c r="A570" s="57"/>
      <c r="B570" s="12"/>
      <c r="C570" s="13"/>
      <c r="D570" s="13"/>
      <c r="E570" s="14"/>
      <c r="F570" s="13"/>
      <c r="G570" s="13"/>
      <c r="H570" s="13"/>
      <c r="I570" s="13"/>
      <c r="J570" s="13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13"/>
      <c r="BJ570" s="13"/>
      <c r="BK570" s="13"/>
      <c r="BL570" s="46"/>
      <c r="BM570" s="46"/>
      <c r="BN570" s="46"/>
      <c r="BO570" s="46"/>
      <c r="BP570" s="46"/>
      <c r="BQ570" s="46"/>
      <c r="BR570" s="34"/>
      <c r="BS570" s="34"/>
      <c r="BT570" s="34"/>
      <c r="BU570" s="34"/>
      <c r="BV570" s="34"/>
      <c r="BW570" s="34"/>
      <c r="BX570" s="34"/>
      <c r="BY570" s="4"/>
    </row>
    <row r="571" spans="1:77">
      <c r="A571" s="57"/>
      <c r="B571" s="12"/>
      <c r="C571" s="13"/>
      <c r="D571" s="13"/>
      <c r="E571" s="14"/>
      <c r="F571" s="13"/>
      <c r="G571" s="13"/>
      <c r="H571" s="13"/>
      <c r="I571" s="13"/>
      <c r="J571" s="13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13"/>
      <c r="BJ571" s="13"/>
      <c r="BK571" s="13"/>
      <c r="BL571" s="46"/>
      <c r="BM571" s="46"/>
      <c r="BN571" s="46"/>
      <c r="BO571" s="46"/>
      <c r="BP571" s="46"/>
      <c r="BQ571" s="46"/>
      <c r="BR571" s="34"/>
      <c r="BS571" s="34"/>
      <c r="BT571" s="34"/>
      <c r="BU571" s="34"/>
      <c r="BV571" s="34"/>
      <c r="BW571" s="34"/>
      <c r="BX571" s="34"/>
      <c r="BY571" s="4"/>
    </row>
    <row r="572" spans="1:77">
      <c r="A572" s="57"/>
      <c r="B572" s="12"/>
      <c r="C572" s="13"/>
      <c r="D572" s="13"/>
      <c r="E572" s="14"/>
      <c r="F572" s="13"/>
      <c r="G572" s="13"/>
      <c r="H572" s="13"/>
      <c r="I572" s="13"/>
      <c r="J572" s="13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43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13"/>
      <c r="BJ572" s="13"/>
      <c r="BK572" s="13"/>
      <c r="BL572" s="46"/>
      <c r="BM572" s="46"/>
      <c r="BN572" s="46"/>
      <c r="BO572" s="46"/>
      <c r="BP572" s="46"/>
      <c r="BQ572" s="46"/>
      <c r="BR572" s="34"/>
      <c r="BS572" s="34"/>
      <c r="BT572" s="34"/>
      <c r="BU572" s="34"/>
      <c r="BV572" s="34"/>
      <c r="BW572" s="34"/>
      <c r="BX572" s="34"/>
      <c r="BY572" s="4"/>
    </row>
    <row r="573" spans="1:77">
      <c r="A573" s="57"/>
      <c r="B573" s="12"/>
      <c r="C573" s="13"/>
      <c r="D573" s="13"/>
      <c r="E573" s="14"/>
      <c r="F573" s="13"/>
      <c r="G573" s="13"/>
      <c r="H573" s="13"/>
      <c r="I573" s="13"/>
      <c r="J573" s="13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13"/>
      <c r="BJ573" s="13"/>
      <c r="BK573" s="13"/>
      <c r="BL573" s="46"/>
      <c r="BM573" s="46"/>
      <c r="BN573" s="46"/>
      <c r="BO573" s="46"/>
      <c r="BP573" s="46"/>
      <c r="BQ573" s="46"/>
      <c r="BR573" s="34"/>
      <c r="BS573" s="34"/>
      <c r="BT573" s="34"/>
      <c r="BU573" s="34"/>
      <c r="BV573" s="34"/>
      <c r="BW573" s="34"/>
      <c r="BX573" s="34"/>
      <c r="BY573" s="4"/>
    </row>
    <row r="574" spans="1:77">
      <c r="A574" s="57"/>
      <c r="B574" s="13"/>
      <c r="C574" s="13"/>
      <c r="D574" s="13"/>
      <c r="E574" s="14"/>
      <c r="F574" s="13"/>
      <c r="G574" s="13"/>
      <c r="H574" s="13"/>
      <c r="I574" s="13"/>
      <c r="J574" s="13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13"/>
      <c r="BJ574" s="13"/>
      <c r="BK574" s="13"/>
      <c r="BL574" s="46"/>
      <c r="BM574" s="46"/>
      <c r="BN574" s="46"/>
      <c r="BO574" s="46"/>
      <c r="BP574" s="46"/>
      <c r="BQ574" s="46"/>
      <c r="BR574" s="34"/>
      <c r="BS574" s="34"/>
      <c r="BT574" s="34"/>
      <c r="BU574" s="34"/>
      <c r="BV574" s="34"/>
      <c r="BW574" s="34"/>
      <c r="BX574" s="34"/>
      <c r="BY574" s="4"/>
    </row>
    <row r="575" spans="1:77">
      <c r="A575" s="57"/>
      <c r="B575" s="13"/>
      <c r="C575" s="13"/>
      <c r="D575" s="13"/>
      <c r="E575" s="14"/>
      <c r="F575" s="13"/>
      <c r="G575" s="13"/>
      <c r="H575" s="13"/>
      <c r="I575" s="13"/>
      <c r="J575" s="13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13"/>
      <c r="BJ575" s="13"/>
      <c r="BK575" s="13"/>
      <c r="BL575" s="46"/>
      <c r="BM575" s="46"/>
      <c r="BN575" s="46"/>
      <c r="BO575" s="46"/>
      <c r="BP575" s="46"/>
      <c r="BQ575" s="46"/>
      <c r="BR575" s="34"/>
      <c r="BS575" s="34"/>
      <c r="BT575" s="34"/>
      <c r="BU575" s="34"/>
      <c r="BV575" s="34"/>
      <c r="BW575" s="34"/>
      <c r="BX575" s="34"/>
      <c r="BY575" s="4"/>
    </row>
    <row r="576" spans="1:77">
      <c r="A576" s="57"/>
      <c r="B576" s="12"/>
      <c r="C576" s="13"/>
      <c r="D576" s="13"/>
      <c r="E576" s="14"/>
      <c r="F576" s="13"/>
      <c r="G576" s="13"/>
      <c r="H576" s="13"/>
      <c r="I576" s="13"/>
      <c r="J576" s="13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13"/>
      <c r="BJ576" s="13"/>
      <c r="BK576" s="13"/>
      <c r="BL576" s="46"/>
      <c r="BM576" s="46"/>
      <c r="BN576" s="46"/>
      <c r="BO576" s="46"/>
      <c r="BP576" s="46"/>
      <c r="BQ576" s="46"/>
      <c r="BR576" s="34"/>
      <c r="BS576" s="34"/>
      <c r="BT576" s="34"/>
      <c r="BU576" s="34"/>
      <c r="BV576" s="34"/>
      <c r="BW576" s="34"/>
      <c r="BX576" s="34"/>
      <c r="BY576" s="4"/>
    </row>
    <row r="577" spans="1:77">
      <c r="A577" s="57"/>
      <c r="B577" s="13"/>
      <c r="C577" s="13"/>
      <c r="D577" s="13"/>
      <c r="E577" s="14"/>
      <c r="F577" s="13"/>
      <c r="G577" s="13"/>
      <c r="H577" s="13"/>
      <c r="I577" s="13"/>
      <c r="J577" s="13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13"/>
      <c r="BJ577" s="13"/>
      <c r="BK577" s="13"/>
      <c r="BL577" s="46"/>
      <c r="BM577" s="46"/>
      <c r="BN577" s="46"/>
      <c r="BO577" s="46"/>
      <c r="BP577" s="46"/>
      <c r="BQ577" s="46"/>
      <c r="BR577" s="34"/>
      <c r="BS577" s="34"/>
      <c r="BT577" s="34"/>
      <c r="BU577" s="34"/>
      <c r="BV577" s="34"/>
      <c r="BW577" s="34"/>
      <c r="BX577" s="34"/>
      <c r="BY577" s="4"/>
    </row>
    <row r="578" spans="1:77">
      <c r="A578" s="57"/>
      <c r="B578" s="13"/>
      <c r="C578" s="13"/>
      <c r="D578" s="13"/>
      <c r="E578" s="14"/>
      <c r="F578" s="13"/>
      <c r="G578" s="13"/>
      <c r="H578" s="13"/>
      <c r="I578" s="13"/>
      <c r="J578" s="13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13"/>
      <c r="BJ578" s="13"/>
      <c r="BK578" s="13"/>
      <c r="BL578" s="46"/>
      <c r="BM578" s="46"/>
      <c r="BN578" s="46"/>
      <c r="BO578" s="46"/>
      <c r="BP578" s="46"/>
      <c r="BQ578" s="46"/>
      <c r="BR578" s="34"/>
      <c r="BS578" s="34"/>
      <c r="BT578" s="34"/>
      <c r="BU578" s="34"/>
      <c r="BV578" s="34"/>
      <c r="BW578" s="34"/>
      <c r="BX578" s="34"/>
      <c r="BY578" s="4"/>
    </row>
    <row r="579" spans="1:77">
      <c r="A579" s="57"/>
      <c r="B579" s="15"/>
      <c r="C579" s="13"/>
      <c r="D579" s="13"/>
      <c r="E579" s="14"/>
      <c r="F579" s="13"/>
      <c r="G579" s="13"/>
      <c r="H579" s="13"/>
      <c r="I579" s="13"/>
      <c r="J579" s="13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13"/>
      <c r="BJ579" s="13"/>
      <c r="BK579" s="13"/>
      <c r="BL579" s="46"/>
      <c r="BM579" s="46"/>
      <c r="BN579" s="46"/>
      <c r="BO579" s="46"/>
      <c r="BP579" s="46"/>
      <c r="BQ579" s="46"/>
      <c r="BR579" s="34"/>
      <c r="BS579" s="34"/>
      <c r="BT579" s="34"/>
      <c r="BU579" s="34"/>
      <c r="BV579" s="34"/>
      <c r="BW579" s="34"/>
      <c r="BX579" s="34"/>
      <c r="BY579" s="4"/>
    </row>
    <row r="580" spans="1:77">
      <c r="A580" s="57"/>
      <c r="B580" s="12"/>
      <c r="C580" s="13"/>
      <c r="D580" s="13"/>
      <c r="E580" s="14"/>
      <c r="F580" s="13"/>
      <c r="G580" s="13"/>
      <c r="H580" s="13"/>
      <c r="I580" s="13"/>
      <c r="J580" s="13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13"/>
      <c r="BJ580" s="13"/>
      <c r="BK580" s="13"/>
      <c r="BL580" s="46"/>
      <c r="BM580" s="46"/>
      <c r="BN580" s="46"/>
      <c r="BO580" s="46"/>
      <c r="BP580" s="46"/>
      <c r="BQ580" s="46"/>
      <c r="BR580" s="34"/>
      <c r="BS580" s="34"/>
      <c r="BT580" s="34"/>
      <c r="BU580" s="34"/>
      <c r="BV580" s="34"/>
      <c r="BW580" s="34"/>
      <c r="BX580" s="34"/>
      <c r="BY580" s="4"/>
    </row>
    <row r="581" spans="1:77">
      <c r="A581" s="57"/>
      <c r="B581" s="12"/>
      <c r="C581" s="13"/>
      <c r="D581" s="13"/>
      <c r="E581" s="14"/>
      <c r="F581" s="13"/>
      <c r="G581" s="13"/>
      <c r="H581" s="13"/>
      <c r="I581" s="13"/>
      <c r="J581" s="13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13"/>
      <c r="BJ581" s="13"/>
      <c r="BK581" s="13"/>
      <c r="BL581" s="46"/>
      <c r="BM581" s="46"/>
      <c r="BN581" s="46"/>
      <c r="BO581" s="46"/>
      <c r="BP581" s="46"/>
      <c r="BQ581" s="46"/>
      <c r="BR581" s="34"/>
      <c r="BS581" s="34"/>
      <c r="BT581" s="34"/>
      <c r="BU581" s="34"/>
      <c r="BV581" s="34"/>
      <c r="BW581" s="34"/>
      <c r="BX581" s="34"/>
      <c r="BY581" s="4"/>
    </row>
    <row r="582" spans="1:77">
      <c r="A582" s="57"/>
      <c r="B582" s="15"/>
      <c r="C582" s="13"/>
      <c r="D582" s="13"/>
      <c r="E582" s="14"/>
      <c r="F582" s="13"/>
      <c r="G582" s="13"/>
      <c r="H582" s="13"/>
      <c r="I582" s="13"/>
      <c r="J582" s="13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13"/>
      <c r="BJ582" s="13"/>
      <c r="BK582" s="13"/>
      <c r="BL582" s="46"/>
      <c r="BM582" s="46"/>
      <c r="BN582" s="46"/>
      <c r="BO582" s="46"/>
      <c r="BP582" s="46"/>
      <c r="BQ582" s="46"/>
      <c r="BR582" s="34"/>
      <c r="BS582" s="34"/>
      <c r="BT582" s="34"/>
      <c r="BU582" s="34"/>
      <c r="BV582" s="34"/>
      <c r="BW582" s="34"/>
      <c r="BX582" s="34"/>
      <c r="BY582" s="4"/>
    </row>
    <row r="583" spans="1:77">
      <c r="A583" s="57"/>
      <c r="B583" s="12"/>
      <c r="C583" s="13"/>
      <c r="D583" s="13"/>
      <c r="E583" s="14"/>
      <c r="F583" s="13"/>
      <c r="G583" s="13"/>
      <c r="H583" s="13"/>
      <c r="I583" s="13"/>
      <c r="J583" s="13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13"/>
      <c r="BJ583" s="13"/>
      <c r="BK583" s="13"/>
      <c r="BL583" s="46"/>
      <c r="BM583" s="46"/>
      <c r="BN583" s="46"/>
      <c r="BO583" s="46"/>
      <c r="BP583" s="46"/>
      <c r="BQ583" s="46"/>
      <c r="BR583" s="34"/>
      <c r="BS583" s="34"/>
      <c r="BT583" s="34"/>
      <c r="BU583" s="34"/>
      <c r="BV583" s="34"/>
      <c r="BW583" s="34"/>
      <c r="BX583" s="34"/>
      <c r="BY583" s="4"/>
    </row>
    <row r="584" spans="1:77">
      <c r="A584" s="57"/>
      <c r="B584" s="13"/>
      <c r="C584" s="13"/>
      <c r="D584" s="13"/>
      <c r="E584" s="14"/>
      <c r="F584" s="13"/>
      <c r="G584" s="13"/>
      <c r="H584" s="13"/>
      <c r="I584" s="13"/>
      <c r="J584" s="13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13"/>
      <c r="BJ584" s="13"/>
      <c r="BK584" s="13"/>
      <c r="BL584" s="46"/>
      <c r="BM584" s="46"/>
      <c r="BN584" s="46"/>
      <c r="BO584" s="46"/>
      <c r="BP584" s="46"/>
      <c r="BQ584" s="46"/>
      <c r="BR584" s="34"/>
      <c r="BS584" s="34"/>
      <c r="BT584" s="34"/>
      <c r="BU584" s="34"/>
      <c r="BV584" s="34"/>
      <c r="BW584" s="34"/>
      <c r="BX584" s="34"/>
      <c r="BY584" s="4"/>
    </row>
    <row r="585" spans="1:77">
      <c r="A585" s="57"/>
      <c r="B585" s="13"/>
      <c r="C585" s="13"/>
      <c r="D585" s="13"/>
      <c r="E585" s="14"/>
      <c r="F585" s="13"/>
      <c r="G585" s="13"/>
      <c r="H585" s="13"/>
      <c r="I585" s="13"/>
      <c r="J585" s="13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13"/>
      <c r="BJ585" s="13"/>
      <c r="BK585" s="13"/>
      <c r="BL585" s="46"/>
      <c r="BM585" s="46"/>
      <c r="BN585" s="46"/>
      <c r="BO585" s="46"/>
      <c r="BP585" s="46"/>
      <c r="BQ585" s="46"/>
      <c r="BR585" s="34"/>
      <c r="BS585" s="34"/>
      <c r="BT585" s="34"/>
      <c r="BU585" s="34"/>
      <c r="BV585" s="34"/>
      <c r="BW585" s="34"/>
      <c r="BX585" s="34"/>
      <c r="BY585" s="4"/>
    </row>
    <row r="586" spans="1:77">
      <c r="A586" s="57"/>
      <c r="B586" s="13"/>
      <c r="C586" s="13"/>
      <c r="D586" s="13"/>
      <c r="E586" s="14"/>
      <c r="F586" s="13"/>
      <c r="G586" s="13"/>
      <c r="H586" s="13"/>
      <c r="I586" s="13"/>
      <c r="J586" s="13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43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13"/>
      <c r="BJ586" s="13"/>
      <c r="BK586" s="13"/>
      <c r="BL586" s="46"/>
      <c r="BM586" s="46"/>
      <c r="BN586" s="46"/>
      <c r="BO586" s="46"/>
      <c r="BP586" s="46"/>
      <c r="BQ586" s="46"/>
      <c r="BR586" s="34"/>
      <c r="BS586" s="34"/>
      <c r="BT586" s="34"/>
      <c r="BU586" s="34"/>
      <c r="BV586" s="34"/>
      <c r="BW586" s="34"/>
      <c r="BX586" s="34"/>
      <c r="BY586" s="4"/>
    </row>
    <row r="587" spans="1:77">
      <c r="A587" s="57"/>
      <c r="B587" s="12"/>
      <c r="C587" s="13"/>
      <c r="D587" s="13"/>
      <c r="E587" s="14"/>
      <c r="F587" s="13"/>
      <c r="G587" s="13"/>
      <c r="H587" s="13"/>
      <c r="I587" s="13"/>
      <c r="J587" s="13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13"/>
      <c r="BJ587" s="13"/>
      <c r="BK587" s="13"/>
      <c r="BL587" s="46"/>
      <c r="BM587" s="46"/>
      <c r="BN587" s="46"/>
      <c r="BO587" s="46"/>
      <c r="BP587" s="46"/>
      <c r="BQ587" s="46"/>
      <c r="BR587" s="34"/>
      <c r="BS587" s="34"/>
      <c r="BT587" s="34"/>
      <c r="BU587" s="34"/>
      <c r="BV587" s="34"/>
      <c r="BW587" s="34"/>
      <c r="BX587" s="34"/>
      <c r="BY587" s="4"/>
    </row>
    <row r="588" spans="1:77">
      <c r="A588" s="57"/>
      <c r="B588" s="12"/>
      <c r="C588" s="13"/>
      <c r="D588" s="13"/>
      <c r="E588" s="14"/>
      <c r="F588" s="13"/>
      <c r="G588" s="13"/>
      <c r="H588" s="13"/>
      <c r="I588" s="13"/>
      <c r="J588" s="13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43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13"/>
      <c r="BJ588" s="13"/>
      <c r="BK588" s="13"/>
      <c r="BL588" s="46"/>
      <c r="BM588" s="46"/>
      <c r="BN588" s="46"/>
      <c r="BO588" s="46"/>
      <c r="BP588" s="46"/>
      <c r="BQ588" s="46"/>
      <c r="BR588" s="34"/>
      <c r="BS588" s="34"/>
      <c r="BT588" s="34"/>
      <c r="BU588" s="34"/>
      <c r="BV588" s="34"/>
      <c r="BW588" s="34"/>
      <c r="BX588" s="34"/>
      <c r="BY588" s="4"/>
    </row>
    <row r="589" spans="1:77">
      <c r="A589" s="57"/>
      <c r="B589" s="12"/>
      <c r="C589" s="13"/>
      <c r="D589" s="13"/>
      <c r="E589" s="14"/>
      <c r="F589" s="13"/>
      <c r="G589" s="13"/>
      <c r="H589" s="13"/>
      <c r="I589" s="13"/>
      <c r="J589" s="13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13"/>
      <c r="BJ589" s="13"/>
      <c r="BK589" s="13"/>
      <c r="BL589" s="46"/>
      <c r="BM589" s="46"/>
      <c r="BN589" s="46"/>
      <c r="BO589" s="46"/>
      <c r="BP589" s="46"/>
      <c r="BQ589" s="46"/>
      <c r="BR589" s="34"/>
      <c r="BS589" s="34"/>
      <c r="BT589" s="34"/>
      <c r="BU589" s="34"/>
      <c r="BV589" s="34"/>
      <c r="BW589" s="34"/>
      <c r="BX589" s="34"/>
      <c r="BY589" s="4"/>
    </row>
    <row r="590" spans="1:77">
      <c r="A590" s="57"/>
      <c r="B590" s="13"/>
      <c r="C590" s="13"/>
      <c r="D590" s="13"/>
      <c r="E590" s="14"/>
      <c r="F590" s="13"/>
      <c r="G590" s="13"/>
      <c r="H590" s="13"/>
      <c r="I590" s="13"/>
      <c r="J590" s="13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13"/>
      <c r="BJ590" s="13"/>
      <c r="BK590" s="13"/>
      <c r="BL590" s="46"/>
      <c r="BM590" s="46"/>
      <c r="BN590" s="46"/>
      <c r="BO590" s="46"/>
      <c r="BP590" s="46"/>
      <c r="BQ590" s="46"/>
      <c r="BR590" s="34"/>
      <c r="BS590" s="34"/>
      <c r="BT590" s="34"/>
      <c r="BU590" s="34"/>
      <c r="BV590" s="34"/>
      <c r="BW590" s="34"/>
      <c r="BX590" s="34"/>
      <c r="BY590" s="4"/>
    </row>
    <row r="591" spans="1:77">
      <c r="A591" s="57"/>
      <c r="B591" s="13"/>
      <c r="C591" s="13"/>
      <c r="D591" s="13"/>
      <c r="E591" s="14"/>
      <c r="F591" s="13"/>
      <c r="G591" s="13"/>
      <c r="H591" s="13"/>
      <c r="I591" s="13"/>
      <c r="J591" s="13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13"/>
      <c r="BJ591" s="13"/>
      <c r="BK591" s="13"/>
      <c r="BL591" s="46"/>
      <c r="BM591" s="46"/>
      <c r="BN591" s="46"/>
      <c r="BO591" s="46"/>
      <c r="BP591" s="46"/>
      <c r="BQ591" s="46"/>
      <c r="BR591" s="34"/>
      <c r="BS591" s="34"/>
      <c r="BT591" s="34"/>
      <c r="BU591" s="34"/>
      <c r="BV591" s="34"/>
      <c r="BW591" s="34"/>
      <c r="BX591" s="34"/>
      <c r="BY591" s="4"/>
    </row>
    <row r="592" spans="1:77">
      <c r="A592" s="57"/>
      <c r="B592" s="13"/>
      <c r="C592" s="13"/>
      <c r="D592" s="13"/>
      <c r="E592" s="14"/>
      <c r="F592" s="13"/>
      <c r="G592" s="13"/>
      <c r="H592" s="13"/>
      <c r="I592" s="13"/>
      <c r="J592" s="13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43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13"/>
      <c r="BJ592" s="13"/>
      <c r="BK592" s="13"/>
      <c r="BL592" s="46"/>
      <c r="BM592" s="46"/>
      <c r="BN592" s="46"/>
      <c r="BO592" s="46"/>
      <c r="BP592" s="46"/>
      <c r="BQ592" s="46"/>
      <c r="BR592" s="34"/>
      <c r="BS592" s="34"/>
      <c r="BT592" s="34"/>
      <c r="BU592" s="34"/>
      <c r="BV592" s="34"/>
      <c r="BW592" s="34"/>
      <c r="BX592" s="34"/>
      <c r="BY592" s="4"/>
    </row>
    <row r="593" spans="1:77">
      <c r="A593" s="57"/>
      <c r="B593" s="13"/>
      <c r="C593" s="13"/>
      <c r="D593" s="13"/>
      <c r="E593" s="14"/>
      <c r="F593" s="13"/>
      <c r="G593" s="13"/>
      <c r="H593" s="13"/>
      <c r="I593" s="13"/>
      <c r="J593" s="13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13"/>
      <c r="BJ593" s="13"/>
      <c r="BK593" s="13"/>
      <c r="BL593" s="46"/>
      <c r="BM593" s="46"/>
      <c r="BN593" s="46"/>
      <c r="BO593" s="46"/>
      <c r="BP593" s="46"/>
      <c r="BQ593" s="46"/>
      <c r="BR593" s="34"/>
      <c r="BS593" s="34"/>
      <c r="BT593" s="34"/>
      <c r="BU593" s="34"/>
      <c r="BV593" s="34"/>
      <c r="BW593" s="34"/>
      <c r="BX593" s="34"/>
      <c r="BY593" s="4"/>
    </row>
    <row r="594" spans="1:77">
      <c r="A594" s="57"/>
      <c r="B594" s="12"/>
      <c r="C594" s="13"/>
      <c r="D594" s="13"/>
      <c r="E594" s="14"/>
      <c r="F594" s="13"/>
      <c r="G594" s="13"/>
      <c r="H594" s="13"/>
      <c r="I594" s="13"/>
      <c r="J594" s="13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43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13"/>
      <c r="BJ594" s="13"/>
      <c r="BK594" s="13"/>
      <c r="BL594" s="46"/>
      <c r="BM594" s="46"/>
      <c r="BN594" s="46"/>
      <c r="BO594" s="46"/>
      <c r="BP594" s="46"/>
      <c r="BQ594" s="46"/>
      <c r="BR594" s="34"/>
      <c r="BS594" s="34"/>
      <c r="BT594" s="34"/>
      <c r="BU594" s="34"/>
      <c r="BV594" s="34"/>
      <c r="BW594" s="34"/>
      <c r="BX594" s="34"/>
      <c r="BY594" s="4"/>
    </row>
    <row r="595" spans="1:77">
      <c r="A595" s="57"/>
      <c r="B595" s="12"/>
      <c r="C595" s="13"/>
      <c r="D595" s="13"/>
      <c r="E595" s="14"/>
      <c r="F595" s="13"/>
      <c r="G595" s="13"/>
      <c r="H595" s="13"/>
      <c r="I595" s="13"/>
      <c r="J595" s="13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13"/>
      <c r="BJ595" s="13"/>
      <c r="BK595" s="13"/>
      <c r="BL595" s="46"/>
      <c r="BM595" s="46"/>
      <c r="BN595" s="46"/>
      <c r="BO595" s="46"/>
      <c r="BP595" s="46"/>
      <c r="BQ595" s="46"/>
      <c r="BR595" s="34"/>
      <c r="BS595" s="34"/>
      <c r="BT595" s="34"/>
      <c r="BU595" s="34"/>
      <c r="BV595" s="34"/>
      <c r="BW595" s="34"/>
      <c r="BX595" s="34"/>
      <c r="BY595" s="4"/>
    </row>
    <row r="596" spans="1:77">
      <c r="A596" s="57"/>
      <c r="B596" s="15"/>
      <c r="C596" s="13"/>
      <c r="D596" s="13"/>
      <c r="E596" s="14"/>
      <c r="F596" s="13"/>
      <c r="G596" s="13"/>
      <c r="H596" s="13"/>
      <c r="I596" s="13"/>
      <c r="J596" s="13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13"/>
      <c r="BJ596" s="13"/>
      <c r="BK596" s="13"/>
      <c r="BL596" s="46"/>
      <c r="BM596" s="46"/>
      <c r="BN596" s="46"/>
      <c r="BO596" s="46"/>
      <c r="BP596" s="46"/>
      <c r="BQ596" s="46"/>
      <c r="BR596" s="34"/>
      <c r="BS596" s="34"/>
      <c r="BT596" s="34"/>
      <c r="BU596" s="34"/>
      <c r="BV596" s="34"/>
      <c r="BW596" s="34"/>
      <c r="BX596" s="34"/>
      <c r="BY596" s="4"/>
    </row>
    <row r="597" spans="1:77">
      <c r="A597" s="57"/>
      <c r="B597" s="12"/>
      <c r="C597" s="13"/>
      <c r="D597" s="13"/>
      <c r="E597" s="14"/>
      <c r="F597" s="13"/>
      <c r="G597" s="13"/>
      <c r="H597" s="13"/>
      <c r="I597" s="13"/>
      <c r="J597" s="13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13"/>
      <c r="BJ597" s="13"/>
      <c r="BK597" s="13"/>
      <c r="BL597" s="46"/>
      <c r="BM597" s="46"/>
      <c r="BN597" s="46"/>
      <c r="BO597" s="46"/>
      <c r="BP597" s="46"/>
      <c r="BQ597" s="46"/>
      <c r="BR597" s="34"/>
      <c r="BS597" s="34"/>
      <c r="BT597" s="34"/>
      <c r="BU597" s="34"/>
      <c r="BV597" s="34"/>
      <c r="BW597" s="34"/>
      <c r="BX597" s="34"/>
      <c r="BY597" s="4"/>
    </row>
    <row r="598" spans="1:77">
      <c r="A598" s="57"/>
      <c r="B598" s="12"/>
      <c r="C598" s="13"/>
      <c r="D598" s="13"/>
      <c r="E598" s="14"/>
      <c r="F598" s="13"/>
      <c r="G598" s="13"/>
      <c r="H598" s="13"/>
      <c r="I598" s="13"/>
      <c r="J598" s="13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13"/>
      <c r="BJ598" s="13"/>
      <c r="BK598" s="13"/>
      <c r="BL598" s="46"/>
      <c r="BM598" s="46"/>
      <c r="BN598" s="46"/>
      <c r="BO598" s="46"/>
      <c r="BP598" s="46"/>
      <c r="BQ598" s="46"/>
      <c r="BR598" s="34"/>
      <c r="BS598" s="34"/>
      <c r="BT598" s="34"/>
      <c r="BU598" s="34"/>
      <c r="BV598" s="34"/>
      <c r="BW598" s="34"/>
      <c r="BX598" s="34"/>
      <c r="BY598" s="4"/>
    </row>
    <row r="599" spans="1:77">
      <c r="A599" s="57"/>
      <c r="B599" s="12"/>
      <c r="C599" s="13"/>
      <c r="D599" s="13"/>
      <c r="E599" s="14"/>
      <c r="F599" s="13"/>
      <c r="G599" s="13"/>
      <c r="H599" s="13"/>
      <c r="I599" s="13"/>
      <c r="J599" s="13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13"/>
      <c r="BJ599" s="13"/>
      <c r="BK599" s="13"/>
      <c r="BL599" s="46"/>
      <c r="BM599" s="46"/>
      <c r="BN599" s="46"/>
      <c r="BO599" s="46"/>
      <c r="BP599" s="46"/>
      <c r="BQ599" s="46"/>
      <c r="BR599" s="34"/>
      <c r="BS599" s="34"/>
      <c r="BT599" s="34"/>
      <c r="BU599" s="34"/>
      <c r="BV599" s="34"/>
      <c r="BW599" s="34"/>
      <c r="BX599" s="34"/>
      <c r="BY599" s="4"/>
    </row>
    <row r="600" spans="1:77">
      <c r="A600" s="57"/>
      <c r="B600" s="13"/>
      <c r="C600" s="13"/>
      <c r="D600" s="13"/>
      <c r="E600" s="14"/>
      <c r="F600" s="13"/>
      <c r="G600" s="13"/>
      <c r="H600" s="13"/>
      <c r="I600" s="13"/>
      <c r="J600" s="13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13"/>
      <c r="BJ600" s="13"/>
      <c r="BK600" s="13"/>
      <c r="BL600" s="46"/>
      <c r="BM600" s="46"/>
      <c r="BN600" s="46"/>
      <c r="BO600" s="46"/>
      <c r="BP600" s="46"/>
      <c r="BQ600" s="46"/>
      <c r="BR600" s="34"/>
      <c r="BS600" s="34"/>
      <c r="BT600" s="34"/>
      <c r="BU600" s="34"/>
      <c r="BV600" s="34"/>
      <c r="BW600" s="34"/>
      <c r="BX600" s="34"/>
      <c r="BY600" s="4"/>
    </row>
    <row r="601" spans="1:77">
      <c r="A601" s="57"/>
      <c r="B601" s="12"/>
      <c r="C601" s="13"/>
      <c r="D601" s="13"/>
      <c r="E601" s="14"/>
      <c r="F601" s="13"/>
      <c r="G601" s="13"/>
      <c r="H601" s="13"/>
      <c r="I601" s="13"/>
      <c r="J601" s="13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13"/>
      <c r="BJ601" s="13"/>
      <c r="BK601" s="13"/>
      <c r="BL601" s="46"/>
      <c r="BM601" s="46"/>
      <c r="BN601" s="46"/>
      <c r="BO601" s="46"/>
      <c r="BP601" s="46"/>
      <c r="BQ601" s="46"/>
      <c r="BR601" s="34"/>
      <c r="BS601" s="34"/>
      <c r="BT601" s="34"/>
      <c r="BU601" s="34"/>
      <c r="BV601" s="34"/>
      <c r="BW601" s="34"/>
      <c r="BX601" s="34"/>
      <c r="BY601" s="4"/>
    </row>
    <row r="602" spans="1:77">
      <c r="A602" s="57"/>
      <c r="B602" s="13"/>
      <c r="C602" s="13"/>
      <c r="D602" s="13"/>
      <c r="E602" s="14"/>
      <c r="F602" s="13"/>
      <c r="G602" s="13"/>
      <c r="H602" s="13"/>
      <c r="I602" s="13"/>
      <c r="J602" s="13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13"/>
      <c r="BJ602" s="13"/>
      <c r="BK602" s="13"/>
      <c r="BL602" s="46"/>
      <c r="BM602" s="46"/>
      <c r="BN602" s="46"/>
      <c r="BO602" s="46"/>
      <c r="BP602" s="46"/>
      <c r="BQ602" s="46"/>
      <c r="BR602" s="34"/>
      <c r="BS602" s="34"/>
      <c r="BT602" s="34"/>
      <c r="BU602" s="34"/>
      <c r="BV602" s="34"/>
      <c r="BW602" s="34"/>
      <c r="BX602" s="34"/>
      <c r="BY602" s="4"/>
    </row>
    <row r="603" spans="1:77">
      <c r="A603" s="57"/>
      <c r="B603" s="12"/>
      <c r="C603" s="13"/>
      <c r="D603" s="13"/>
      <c r="E603" s="14"/>
      <c r="F603" s="13"/>
      <c r="G603" s="13"/>
      <c r="H603" s="13"/>
      <c r="I603" s="13"/>
      <c r="J603" s="13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13"/>
      <c r="BJ603" s="13"/>
      <c r="BK603" s="13"/>
      <c r="BL603" s="46"/>
      <c r="BM603" s="46"/>
      <c r="BN603" s="46"/>
      <c r="BO603" s="46"/>
      <c r="BP603" s="46"/>
      <c r="BQ603" s="46"/>
      <c r="BR603" s="34"/>
      <c r="BS603" s="34"/>
      <c r="BT603" s="34"/>
      <c r="BU603" s="34"/>
      <c r="BV603" s="34"/>
      <c r="BW603" s="34"/>
      <c r="BX603" s="34"/>
      <c r="BY603" s="4"/>
    </row>
    <row r="604" spans="1:77">
      <c r="A604" s="57"/>
      <c r="B604" s="15"/>
      <c r="C604" s="13"/>
      <c r="D604" s="13"/>
      <c r="E604" s="14"/>
      <c r="F604" s="13"/>
      <c r="G604" s="13"/>
      <c r="H604" s="13"/>
      <c r="I604" s="13"/>
      <c r="J604" s="13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13"/>
      <c r="BJ604" s="13"/>
      <c r="BK604" s="13"/>
      <c r="BL604" s="46"/>
      <c r="BM604" s="46"/>
      <c r="BN604" s="46"/>
      <c r="BO604" s="46"/>
      <c r="BP604" s="46"/>
      <c r="BQ604" s="46"/>
      <c r="BR604" s="34"/>
      <c r="BS604" s="34"/>
      <c r="BT604" s="34"/>
      <c r="BU604" s="34"/>
      <c r="BV604" s="34"/>
      <c r="BW604" s="34"/>
      <c r="BX604" s="34"/>
      <c r="BY604" s="4"/>
    </row>
    <row r="605" spans="1:77">
      <c r="A605" s="57"/>
      <c r="B605" s="13"/>
      <c r="C605" s="13"/>
      <c r="D605" s="13"/>
      <c r="E605" s="14"/>
      <c r="F605" s="13"/>
      <c r="G605" s="13"/>
      <c r="H605" s="13"/>
      <c r="I605" s="13"/>
      <c r="J605" s="13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13"/>
      <c r="BJ605" s="13"/>
      <c r="BK605" s="13"/>
      <c r="BL605" s="46"/>
      <c r="BM605" s="46"/>
      <c r="BN605" s="46"/>
      <c r="BO605" s="46"/>
      <c r="BP605" s="46"/>
      <c r="BQ605" s="46"/>
      <c r="BR605" s="34"/>
      <c r="BS605" s="34"/>
      <c r="BT605" s="34"/>
      <c r="BU605" s="34"/>
      <c r="BV605" s="34"/>
      <c r="BW605" s="34"/>
      <c r="BX605" s="34"/>
      <c r="BY605" s="4"/>
    </row>
    <row r="606" spans="1:77">
      <c r="A606" s="57"/>
      <c r="B606" s="12"/>
      <c r="C606" s="13"/>
      <c r="D606" s="13"/>
      <c r="E606" s="14"/>
      <c r="F606" s="13"/>
      <c r="G606" s="13"/>
      <c r="H606" s="13"/>
      <c r="I606" s="13"/>
      <c r="J606" s="13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13"/>
      <c r="BJ606" s="13"/>
      <c r="BK606" s="13"/>
      <c r="BL606" s="46"/>
      <c r="BM606" s="46"/>
      <c r="BN606" s="46"/>
      <c r="BO606" s="46"/>
      <c r="BP606" s="46"/>
      <c r="BQ606" s="46"/>
      <c r="BR606" s="34"/>
      <c r="BS606" s="34"/>
      <c r="BT606" s="34"/>
      <c r="BU606" s="34"/>
      <c r="BV606" s="34"/>
      <c r="BW606" s="34"/>
      <c r="BX606" s="34"/>
      <c r="BY606" s="4"/>
    </row>
    <row r="607" spans="1:77">
      <c r="A607" s="57"/>
      <c r="B607" s="12"/>
      <c r="C607" s="13"/>
      <c r="D607" s="13"/>
      <c r="E607" s="14"/>
      <c r="F607" s="13"/>
      <c r="G607" s="13"/>
      <c r="H607" s="13"/>
      <c r="I607" s="13"/>
      <c r="J607" s="13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13"/>
      <c r="BJ607" s="13"/>
      <c r="BK607" s="13"/>
      <c r="BL607" s="46"/>
      <c r="BM607" s="46"/>
      <c r="BN607" s="46"/>
      <c r="BO607" s="46"/>
      <c r="BP607" s="46"/>
      <c r="BQ607" s="46"/>
      <c r="BR607" s="34"/>
      <c r="BS607" s="34"/>
      <c r="BT607" s="34"/>
      <c r="BU607" s="34"/>
      <c r="BV607" s="34"/>
      <c r="BW607" s="34"/>
      <c r="BX607" s="34"/>
      <c r="BY607" s="4"/>
    </row>
    <row r="608" spans="1:77">
      <c r="A608" s="57"/>
      <c r="B608" s="12"/>
      <c r="C608" s="13"/>
      <c r="D608" s="13"/>
      <c r="E608" s="14"/>
      <c r="F608" s="13"/>
      <c r="G608" s="13"/>
      <c r="H608" s="13"/>
      <c r="I608" s="13"/>
      <c r="J608" s="13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13"/>
      <c r="BJ608" s="13"/>
      <c r="BK608" s="13"/>
      <c r="BL608" s="46"/>
      <c r="BM608" s="46"/>
      <c r="BN608" s="46"/>
      <c r="BO608" s="46"/>
      <c r="BP608" s="46"/>
      <c r="BQ608" s="46"/>
      <c r="BR608" s="34"/>
      <c r="BS608" s="34"/>
      <c r="BT608" s="34"/>
      <c r="BU608" s="34"/>
      <c r="BV608" s="34"/>
      <c r="BW608" s="34"/>
      <c r="BX608" s="34"/>
      <c r="BY608" s="4"/>
    </row>
    <row r="609" spans="1:77">
      <c r="A609" s="57"/>
      <c r="B609" s="12"/>
      <c r="C609" s="13"/>
      <c r="D609" s="13"/>
      <c r="E609" s="14"/>
      <c r="F609" s="13"/>
      <c r="G609" s="13"/>
      <c r="H609" s="13"/>
      <c r="I609" s="13"/>
      <c r="J609" s="13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13"/>
      <c r="BJ609" s="13"/>
      <c r="BK609" s="13"/>
      <c r="BL609" s="46"/>
      <c r="BM609" s="46"/>
      <c r="BN609" s="46"/>
      <c r="BO609" s="46"/>
      <c r="BP609" s="46"/>
      <c r="BQ609" s="46"/>
      <c r="BR609" s="34"/>
      <c r="BS609" s="34"/>
      <c r="BT609" s="34"/>
      <c r="BU609" s="34"/>
      <c r="BV609" s="34"/>
      <c r="BW609" s="34"/>
      <c r="BX609" s="34"/>
      <c r="BY609" s="4"/>
    </row>
    <row r="610" spans="1:77">
      <c r="A610" s="57"/>
      <c r="B610" s="13"/>
      <c r="C610" s="13"/>
      <c r="D610" s="13"/>
      <c r="E610" s="14"/>
      <c r="F610" s="13"/>
      <c r="G610" s="13"/>
      <c r="H610" s="13"/>
      <c r="I610" s="13"/>
      <c r="J610" s="13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13"/>
      <c r="BJ610" s="13"/>
      <c r="BK610" s="13"/>
      <c r="BL610" s="46"/>
      <c r="BM610" s="46"/>
      <c r="BN610" s="46"/>
      <c r="BO610" s="46"/>
      <c r="BP610" s="46"/>
      <c r="BQ610" s="46"/>
      <c r="BR610" s="34"/>
      <c r="BS610" s="34"/>
      <c r="BT610" s="34"/>
      <c r="BU610" s="34"/>
      <c r="BV610" s="34"/>
      <c r="BW610" s="34"/>
      <c r="BX610" s="34"/>
      <c r="BY610" s="4"/>
    </row>
    <row r="611" spans="1:77">
      <c r="A611" s="57"/>
      <c r="B611" s="12"/>
      <c r="C611" s="13"/>
      <c r="D611" s="13"/>
      <c r="E611" s="14"/>
      <c r="F611" s="13"/>
      <c r="G611" s="13"/>
      <c r="H611" s="13"/>
      <c r="I611" s="13"/>
      <c r="J611" s="13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13"/>
      <c r="BJ611" s="13"/>
      <c r="BK611" s="13"/>
      <c r="BL611" s="46"/>
      <c r="BM611" s="46"/>
      <c r="BN611" s="46"/>
      <c r="BO611" s="46"/>
      <c r="BP611" s="46"/>
      <c r="BQ611" s="46"/>
      <c r="BR611" s="34"/>
      <c r="BS611" s="34"/>
      <c r="BT611" s="34"/>
      <c r="BU611" s="34"/>
      <c r="BV611" s="34"/>
      <c r="BW611" s="34"/>
      <c r="BX611" s="34"/>
      <c r="BY611" s="4"/>
    </row>
    <row r="612" spans="1:77">
      <c r="A612" s="57"/>
      <c r="B612" s="12"/>
      <c r="C612" s="13"/>
      <c r="D612" s="13"/>
      <c r="E612" s="14"/>
      <c r="F612" s="13"/>
      <c r="G612" s="13"/>
      <c r="H612" s="13"/>
      <c r="I612" s="13"/>
      <c r="J612" s="13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13"/>
      <c r="BJ612" s="13"/>
      <c r="BK612" s="13"/>
      <c r="BL612" s="46"/>
      <c r="BM612" s="46"/>
      <c r="BN612" s="46"/>
      <c r="BO612" s="46"/>
      <c r="BP612" s="46"/>
      <c r="BQ612" s="46"/>
      <c r="BR612" s="34"/>
      <c r="BS612" s="34"/>
      <c r="BT612" s="34"/>
      <c r="BU612" s="34"/>
      <c r="BV612" s="34"/>
      <c r="BW612" s="34"/>
      <c r="BX612" s="34"/>
      <c r="BY612" s="4"/>
    </row>
    <row r="613" spans="1:77">
      <c r="A613" s="57"/>
      <c r="B613" s="13"/>
      <c r="C613" s="13"/>
      <c r="D613" s="13"/>
      <c r="E613" s="14"/>
      <c r="F613" s="13"/>
      <c r="G613" s="13"/>
      <c r="H613" s="13"/>
      <c r="I613" s="13"/>
      <c r="J613" s="13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13"/>
      <c r="BJ613" s="13"/>
      <c r="BK613" s="13"/>
      <c r="BL613" s="46"/>
      <c r="BM613" s="46"/>
      <c r="BN613" s="46"/>
      <c r="BO613" s="46"/>
      <c r="BP613" s="46"/>
      <c r="BQ613" s="46"/>
      <c r="BR613" s="34"/>
      <c r="BS613" s="34"/>
      <c r="BT613" s="34"/>
      <c r="BU613" s="34"/>
      <c r="BV613" s="34"/>
      <c r="BW613" s="34"/>
      <c r="BX613" s="34"/>
      <c r="BY613" s="4"/>
    </row>
    <row r="614" spans="1:77">
      <c r="A614" s="57"/>
      <c r="B614" s="13"/>
      <c r="C614" s="13"/>
      <c r="D614" s="13"/>
      <c r="E614" s="14"/>
      <c r="F614" s="13"/>
      <c r="G614" s="13"/>
      <c r="H614" s="13"/>
      <c r="I614" s="13"/>
      <c r="J614" s="13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13"/>
      <c r="BJ614" s="13"/>
      <c r="BK614" s="13"/>
      <c r="BL614" s="46"/>
      <c r="BM614" s="46"/>
      <c r="BN614" s="46"/>
      <c r="BO614" s="46"/>
      <c r="BP614" s="46"/>
      <c r="BQ614" s="46"/>
      <c r="BR614" s="34"/>
      <c r="BS614" s="34"/>
      <c r="BT614" s="34"/>
      <c r="BU614" s="34"/>
      <c r="BV614" s="34"/>
      <c r="BW614" s="34"/>
      <c r="BX614" s="34"/>
      <c r="BY614" s="4"/>
    </row>
    <row r="615" spans="1:77">
      <c r="A615" s="57"/>
      <c r="B615" s="12"/>
      <c r="C615" s="13"/>
      <c r="D615" s="13"/>
      <c r="E615" s="14"/>
      <c r="F615" s="13"/>
      <c r="G615" s="13"/>
      <c r="H615" s="13"/>
      <c r="I615" s="13"/>
      <c r="J615" s="13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13"/>
      <c r="BJ615" s="13"/>
      <c r="BK615" s="13"/>
      <c r="BL615" s="46"/>
      <c r="BM615" s="46"/>
      <c r="BN615" s="46"/>
      <c r="BO615" s="46"/>
      <c r="BP615" s="46"/>
      <c r="BQ615" s="46"/>
      <c r="BR615" s="34"/>
      <c r="BS615" s="34"/>
      <c r="BT615" s="34"/>
      <c r="BU615" s="34"/>
      <c r="BV615" s="34"/>
      <c r="BW615" s="34"/>
      <c r="BX615" s="34"/>
      <c r="BY615" s="4"/>
    </row>
    <row r="616" spans="1:77">
      <c r="A616" s="57"/>
      <c r="B616" s="13"/>
      <c r="C616" s="13"/>
      <c r="D616" s="13"/>
      <c r="E616" s="14"/>
      <c r="F616" s="13"/>
      <c r="G616" s="13"/>
      <c r="H616" s="13"/>
      <c r="I616" s="13"/>
      <c r="J616" s="13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13"/>
      <c r="BJ616" s="13"/>
      <c r="BK616" s="13"/>
      <c r="BL616" s="46"/>
      <c r="BM616" s="46"/>
      <c r="BN616" s="46"/>
      <c r="BO616" s="46"/>
      <c r="BP616" s="46"/>
      <c r="BQ616" s="46"/>
      <c r="BR616" s="34"/>
      <c r="BS616" s="34"/>
      <c r="BT616" s="34"/>
      <c r="BU616" s="34"/>
      <c r="BV616" s="34"/>
      <c r="BW616" s="34"/>
      <c r="BX616" s="34"/>
      <c r="BY616" s="4"/>
    </row>
    <row r="617" spans="1:77">
      <c r="A617" s="57"/>
      <c r="B617" s="12"/>
      <c r="C617" s="13"/>
      <c r="D617" s="13"/>
      <c r="E617" s="14"/>
      <c r="F617" s="13"/>
      <c r="G617" s="13"/>
      <c r="H617" s="13"/>
      <c r="I617" s="13"/>
      <c r="J617" s="13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43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13"/>
      <c r="BJ617" s="13"/>
      <c r="BK617" s="13"/>
      <c r="BL617" s="46"/>
      <c r="BM617" s="46"/>
      <c r="BN617" s="46"/>
      <c r="BO617" s="46"/>
      <c r="BP617" s="46"/>
      <c r="BQ617" s="46"/>
      <c r="BR617" s="34"/>
      <c r="BS617" s="34"/>
      <c r="BT617" s="34"/>
      <c r="BU617" s="34"/>
      <c r="BV617" s="34"/>
      <c r="BW617" s="34"/>
      <c r="BX617" s="34"/>
      <c r="BY617" s="4"/>
    </row>
    <row r="618" spans="1:77">
      <c r="A618" s="57"/>
      <c r="B618" s="13"/>
      <c r="C618" s="13"/>
      <c r="D618" s="13"/>
      <c r="E618" s="14"/>
      <c r="F618" s="13"/>
      <c r="G618" s="13"/>
      <c r="H618" s="13"/>
      <c r="I618" s="13"/>
      <c r="J618" s="13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43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13"/>
      <c r="BJ618" s="13"/>
      <c r="BK618" s="13"/>
      <c r="BL618" s="46"/>
      <c r="BM618" s="46"/>
      <c r="BN618" s="46"/>
      <c r="BO618" s="46"/>
      <c r="BP618" s="46"/>
      <c r="BQ618" s="46"/>
      <c r="BR618" s="34"/>
      <c r="BS618" s="34"/>
      <c r="BT618" s="34"/>
      <c r="BU618" s="34"/>
      <c r="BV618" s="34"/>
      <c r="BW618" s="34"/>
      <c r="BX618" s="34"/>
      <c r="BY618" s="4"/>
    </row>
    <row r="619" spans="1:77">
      <c r="A619" s="57"/>
      <c r="B619" s="13"/>
      <c r="C619" s="13"/>
      <c r="D619" s="13"/>
      <c r="E619" s="14"/>
      <c r="F619" s="13"/>
      <c r="G619" s="13"/>
      <c r="H619" s="13"/>
      <c r="I619" s="13"/>
      <c r="J619" s="13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13"/>
      <c r="BJ619" s="13"/>
      <c r="BK619" s="13"/>
      <c r="BL619" s="46"/>
      <c r="BM619" s="46"/>
      <c r="BN619" s="46"/>
      <c r="BO619" s="46"/>
      <c r="BP619" s="46"/>
      <c r="BQ619" s="46"/>
      <c r="BR619" s="34"/>
      <c r="BS619" s="34"/>
      <c r="BT619" s="34"/>
      <c r="BU619" s="34"/>
      <c r="BV619" s="34"/>
      <c r="BW619" s="34"/>
      <c r="BX619" s="34"/>
      <c r="BY619" s="4"/>
    </row>
    <row r="620" spans="1:77">
      <c r="A620" s="57"/>
      <c r="B620" s="12"/>
      <c r="C620" s="13"/>
      <c r="D620" s="13"/>
      <c r="E620" s="14"/>
      <c r="F620" s="13"/>
      <c r="G620" s="13"/>
      <c r="H620" s="13"/>
      <c r="I620" s="13"/>
      <c r="J620" s="13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13"/>
      <c r="BJ620" s="13"/>
      <c r="BK620" s="13"/>
      <c r="BL620" s="46"/>
      <c r="BM620" s="46"/>
      <c r="BN620" s="46"/>
      <c r="BO620" s="46"/>
      <c r="BP620" s="46"/>
      <c r="BQ620" s="46"/>
      <c r="BR620" s="34"/>
      <c r="BS620" s="34"/>
      <c r="BT620" s="34"/>
      <c r="BU620" s="34"/>
      <c r="BV620" s="34"/>
      <c r="BW620" s="34"/>
      <c r="BX620" s="34"/>
      <c r="BY620" s="4"/>
    </row>
    <row r="621" spans="1:77">
      <c r="A621" s="57"/>
      <c r="B621" s="13"/>
      <c r="C621" s="13"/>
      <c r="D621" s="13"/>
      <c r="E621" s="14"/>
      <c r="F621" s="13"/>
      <c r="G621" s="13"/>
      <c r="H621" s="13"/>
      <c r="I621" s="13"/>
      <c r="J621" s="13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43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13"/>
      <c r="BJ621" s="13"/>
      <c r="BK621" s="13"/>
      <c r="BL621" s="46"/>
      <c r="BM621" s="46"/>
      <c r="BN621" s="46"/>
      <c r="BO621" s="46"/>
      <c r="BP621" s="46"/>
      <c r="BQ621" s="46"/>
      <c r="BR621" s="34"/>
      <c r="BS621" s="34"/>
      <c r="BT621" s="34"/>
      <c r="BU621" s="34"/>
      <c r="BV621" s="34"/>
      <c r="BW621" s="34"/>
      <c r="BX621" s="34"/>
      <c r="BY621" s="4"/>
    </row>
    <row r="622" spans="1:77">
      <c r="A622" s="57"/>
      <c r="B622" s="13"/>
      <c r="C622" s="13"/>
      <c r="D622" s="13"/>
      <c r="E622" s="14"/>
      <c r="F622" s="13"/>
      <c r="G622" s="13"/>
      <c r="H622" s="13"/>
      <c r="I622" s="13"/>
      <c r="J622" s="13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13"/>
      <c r="BJ622" s="13"/>
      <c r="BK622" s="13"/>
      <c r="BL622" s="46"/>
      <c r="BM622" s="46"/>
      <c r="BN622" s="46"/>
      <c r="BO622" s="46"/>
      <c r="BP622" s="46"/>
      <c r="BQ622" s="46"/>
      <c r="BR622" s="34"/>
      <c r="BS622" s="34"/>
      <c r="BT622" s="34"/>
      <c r="BU622" s="34"/>
      <c r="BV622" s="34"/>
      <c r="BW622" s="34"/>
      <c r="BX622" s="34"/>
      <c r="BY622" s="4"/>
    </row>
    <row r="623" spans="1:77">
      <c r="A623" s="57"/>
      <c r="B623" s="15"/>
      <c r="C623" s="13"/>
      <c r="D623" s="13"/>
      <c r="E623" s="14"/>
      <c r="F623" s="13"/>
      <c r="G623" s="13"/>
      <c r="H623" s="13"/>
      <c r="I623" s="13"/>
      <c r="J623" s="13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13"/>
      <c r="BJ623" s="13"/>
      <c r="BK623" s="13"/>
      <c r="BL623" s="46"/>
      <c r="BM623" s="46"/>
      <c r="BN623" s="46"/>
      <c r="BO623" s="46"/>
      <c r="BP623" s="46"/>
      <c r="BQ623" s="46"/>
      <c r="BR623" s="34"/>
      <c r="BS623" s="34"/>
      <c r="BT623" s="34"/>
      <c r="BU623" s="34"/>
      <c r="BV623" s="34"/>
      <c r="BW623" s="34"/>
      <c r="BX623" s="34"/>
      <c r="BY623" s="4"/>
    </row>
    <row r="624" spans="1:77">
      <c r="A624" s="57"/>
      <c r="B624" s="13"/>
      <c r="C624" s="13"/>
      <c r="D624" s="13"/>
      <c r="E624" s="14"/>
      <c r="F624" s="13"/>
      <c r="G624" s="13"/>
      <c r="H624" s="13"/>
      <c r="I624" s="13"/>
      <c r="J624" s="13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43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13"/>
      <c r="BJ624" s="13"/>
      <c r="BK624" s="13"/>
      <c r="BL624" s="46"/>
      <c r="BM624" s="46"/>
      <c r="BN624" s="46"/>
      <c r="BO624" s="46"/>
      <c r="BP624" s="46"/>
      <c r="BQ624" s="46"/>
      <c r="BR624" s="34"/>
      <c r="BS624" s="34"/>
      <c r="BT624" s="34"/>
      <c r="BU624" s="34"/>
      <c r="BV624" s="34"/>
      <c r="BW624" s="34"/>
      <c r="BX624" s="34"/>
      <c r="BY624" s="4"/>
    </row>
    <row r="625" spans="1:77">
      <c r="A625" s="57"/>
      <c r="B625" s="12"/>
      <c r="C625" s="13"/>
      <c r="D625" s="13"/>
      <c r="E625" s="14"/>
      <c r="F625" s="13"/>
      <c r="G625" s="13"/>
      <c r="H625" s="13"/>
      <c r="I625" s="13"/>
      <c r="J625" s="13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13"/>
      <c r="BJ625" s="13"/>
      <c r="BK625" s="13"/>
      <c r="BL625" s="46"/>
      <c r="BM625" s="46"/>
      <c r="BN625" s="46"/>
      <c r="BO625" s="46"/>
      <c r="BP625" s="46"/>
      <c r="BQ625" s="46"/>
      <c r="BR625" s="34"/>
      <c r="BS625" s="34"/>
      <c r="BT625" s="34"/>
      <c r="BU625" s="34"/>
      <c r="BV625" s="34"/>
      <c r="BW625" s="34"/>
      <c r="BX625" s="34"/>
      <c r="BY625" s="4"/>
    </row>
    <row r="626" spans="1:77">
      <c r="A626" s="57"/>
      <c r="B626" s="12"/>
      <c r="C626" s="13"/>
      <c r="D626" s="13"/>
      <c r="E626" s="14"/>
      <c r="F626" s="13"/>
      <c r="G626" s="13"/>
      <c r="H626" s="13"/>
      <c r="I626" s="13"/>
      <c r="J626" s="13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13"/>
      <c r="BJ626" s="13"/>
      <c r="BK626" s="13"/>
      <c r="BL626" s="46"/>
      <c r="BM626" s="46"/>
      <c r="BN626" s="46"/>
      <c r="BO626" s="46"/>
      <c r="BP626" s="46"/>
      <c r="BQ626" s="46"/>
      <c r="BR626" s="34"/>
      <c r="BS626" s="34"/>
      <c r="BT626" s="34"/>
      <c r="BU626" s="34"/>
      <c r="BV626" s="34"/>
      <c r="BW626" s="34"/>
      <c r="BX626" s="34"/>
      <c r="BY626" s="4"/>
    </row>
    <row r="627" spans="1:77">
      <c r="A627" s="57"/>
      <c r="B627" s="15"/>
      <c r="C627" s="13"/>
      <c r="D627" s="13"/>
      <c r="E627" s="14"/>
      <c r="F627" s="13"/>
      <c r="G627" s="13"/>
      <c r="H627" s="13"/>
      <c r="I627" s="13"/>
      <c r="J627" s="13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13"/>
      <c r="BJ627" s="13"/>
      <c r="BK627" s="13"/>
      <c r="BL627" s="46"/>
      <c r="BM627" s="46"/>
      <c r="BN627" s="46"/>
      <c r="BO627" s="46"/>
      <c r="BP627" s="46"/>
      <c r="BQ627" s="46"/>
      <c r="BR627" s="34"/>
      <c r="BS627" s="34"/>
      <c r="BT627" s="34"/>
      <c r="BU627" s="34"/>
      <c r="BV627" s="34"/>
      <c r="BW627" s="34"/>
      <c r="BX627" s="34"/>
      <c r="BY627" s="4"/>
    </row>
    <row r="628" spans="1:77">
      <c r="A628" s="57"/>
      <c r="B628" s="13"/>
      <c r="C628" s="13"/>
      <c r="D628" s="13"/>
      <c r="E628" s="14"/>
      <c r="F628" s="13"/>
      <c r="G628" s="13"/>
      <c r="H628" s="13"/>
      <c r="I628" s="13"/>
      <c r="J628" s="13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13"/>
      <c r="BJ628" s="13"/>
      <c r="BK628" s="13"/>
      <c r="BL628" s="46"/>
      <c r="BM628" s="46"/>
      <c r="BN628" s="46"/>
      <c r="BO628" s="46"/>
      <c r="BP628" s="46"/>
      <c r="BQ628" s="46"/>
      <c r="BR628" s="34"/>
      <c r="BS628" s="34"/>
      <c r="BT628" s="34"/>
      <c r="BU628" s="34"/>
      <c r="BV628" s="34"/>
      <c r="BW628" s="34"/>
      <c r="BX628" s="34"/>
      <c r="BY628" s="4"/>
    </row>
    <row r="629" spans="1:77">
      <c r="A629" s="57"/>
      <c r="B629" s="12"/>
      <c r="C629" s="13"/>
      <c r="D629" s="13"/>
      <c r="E629" s="14"/>
      <c r="F629" s="13"/>
      <c r="G629" s="13"/>
      <c r="H629" s="13"/>
      <c r="I629" s="13"/>
      <c r="J629" s="13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13"/>
      <c r="BJ629" s="13"/>
      <c r="BK629" s="13"/>
      <c r="BL629" s="46"/>
      <c r="BM629" s="46"/>
      <c r="BN629" s="46"/>
      <c r="BO629" s="46"/>
      <c r="BP629" s="46"/>
      <c r="BQ629" s="46"/>
      <c r="BR629" s="34"/>
      <c r="BS629" s="34"/>
      <c r="BT629" s="34"/>
      <c r="BU629" s="34"/>
      <c r="BV629" s="34"/>
      <c r="BW629" s="34"/>
      <c r="BX629" s="34"/>
      <c r="BY629" s="4"/>
    </row>
    <row r="630" spans="1:77">
      <c r="A630" s="57"/>
      <c r="B630" s="13"/>
      <c r="C630" s="13"/>
      <c r="D630" s="13"/>
      <c r="E630" s="14"/>
      <c r="F630" s="13"/>
      <c r="G630" s="13"/>
      <c r="H630" s="13"/>
      <c r="I630" s="13"/>
      <c r="J630" s="13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13"/>
      <c r="BJ630" s="13"/>
      <c r="BK630" s="13"/>
      <c r="BL630" s="46"/>
      <c r="BM630" s="46"/>
      <c r="BN630" s="46"/>
      <c r="BO630" s="46"/>
      <c r="BP630" s="46"/>
      <c r="BQ630" s="46"/>
      <c r="BR630" s="34"/>
      <c r="BS630" s="34"/>
      <c r="BT630" s="34"/>
      <c r="BU630" s="34"/>
      <c r="BV630" s="34"/>
      <c r="BW630" s="34"/>
      <c r="BX630" s="34"/>
      <c r="BY630" s="4"/>
    </row>
    <row r="631" spans="1:77">
      <c r="A631" s="57"/>
      <c r="B631" s="13"/>
      <c r="C631" s="13"/>
      <c r="D631" s="13"/>
      <c r="E631" s="14"/>
      <c r="F631" s="13"/>
      <c r="G631" s="13"/>
      <c r="H631" s="13"/>
      <c r="I631" s="13"/>
      <c r="J631" s="13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13"/>
      <c r="BJ631" s="13"/>
      <c r="BK631" s="13"/>
      <c r="BL631" s="46"/>
      <c r="BM631" s="46"/>
      <c r="BN631" s="46"/>
      <c r="BO631" s="46"/>
      <c r="BP631" s="46"/>
      <c r="BQ631" s="46"/>
      <c r="BR631" s="34"/>
      <c r="BS631" s="34"/>
      <c r="BT631" s="34"/>
      <c r="BU631" s="34"/>
      <c r="BV631" s="34"/>
      <c r="BW631" s="34"/>
      <c r="BX631" s="34"/>
      <c r="BY631" s="4"/>
    </row>
    <row r="632" spans="1:77">
      <c r="A632" s="57"/>
      <c r="B632" s="13"/>
      <c r="C632" s="13"/>
      <c r="D632" s="13"/>
      <c r="E632" s="14"/>
      <c r="F632" s="13"/>
      <c r="G632" s="13"/>
      <c r="H632" s="13"/>
      <c r="I632" s="13"/>
      <c r="J632" s="13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13"/>
      <c r="BJ632" s="13"/>
      <c r="BK632" s="13"/>
      <c r="BL632" s="46"/>
      <c r="BM632" s="46"/>
      <c r="BN632" s="46"/>
      <c r="BO632" s="46"/>
      <c r="BP632" s="46"/>
      <c r="BQ632" s="46"/>
      <c r="BR632" s="34"/>
      <c r="BS632" s="34"/>
      <c r="BT632" s="34"/>
      <c r="BU632" s="34"/>
      <c r="BV632" s="34"/>
      <c r="BW632" s="34"/>
      <c r="BX632" s="34"/>
      <c r="BY632" s="4"/>
    </row>
    <row r="633" spans="1:77">
      <c r="A633" s="57"/>
      <c r="B633" s="13"/>
      <c r="C633" s="13"/>
      <c r="D633" s="13"/>
      <c r="E633" s="14"/>
      <c r="F633" s="13"/>
      <c r="G633" s="13"/>
      <c r="H633" s="13"/>
      <c r="I633" s="13"/>
      <c r="J633" s="13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13"/>
      <c r="BJ633" s="13"/>
      <c r="BK633" s="13"/>
      <c r="BL633" s="46"/>
      <c r="BM633" s="46"/>
      <c r="BN633" s="46"/>
      <c r="BO633" s="46"/>
      <c r="BP633" s="46"/>
      <c r="BQ633" s="46"/>
      <c r="BR633" s="34"/>
      <c r="BS633" s="34"/>
      <c r="BT633" s="34"/>
      <c r="BU633" s="34"/>
      <c r="BV633" s="34"/>
      <c r="BW633" s="34"/>
      <c r="BX633" s="34"/>
      <c r="BY633" s="4"/>
    </row>
    <row r="634" spans="1:77">
      <c r="A634" s="57"/>
      <c r="B634" s="12"/>
      <c r="C634" s="13"/>
      <c r="D634" s="13"/>
      <c r="E634" s="14"/>
      <c r="F634" s="13"/>
      <c r="G634" s="13"/>
      <c r="H634" s="13"/>
      <c r="I634" s="13"/>
      <c r="J634" s="13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13"/>
      <c r="BJ634" s="13"/>
      <c r="BK634" s="13"/>
      <c r="BL634" s="46"/>
      <c r="BM634" s="46"/>
      <c r="BN634" s="46"/>
      <c r="BO634" s="46"/>
      <c r="BP634" s="46"/>
      <c r="BQ634" s="46"/>
      <c r="BR634" s="34"/>
      <c r="BS634" s="34"/>
      <c r="BT634" s="34"/>
      <c r="BU634" s="34"/>
      <c r="BV634" s="34"/>
      <c r="BW634" s="34"/>
      <c r="BX634" s="34"/>
      <c r="BY634" s="4"/>
    </row>
    <row r="635" spans="1:77">
      <c r="A635" s="57"/>
      <c r="B635" s="13"/>
      <c r="C635" s="13"/>
      <c r="D635" s="13"/>
      <c r="E635" s="14"/>
      <c r="F635" s="13"/>
      <c r="G635" s="13"/>
      <c r="H635" s="13"/>
      <c r="I635" s="13"/>
      <c r="J635" s="13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13"/>
      <c r="BJ635" s="13"/>
      <c r="BK635" s="13"/>
      <c r="BL635" s="46"/>
      <c r="BM635" s="46"/>
      <c r="BN635" s="46"/>
      <c r="BO635" s="46"/>
      <c r="BP635" s="46"/>
      <c r="BQ635" s="46"/>
      <c r="BR635" s="34"/>
      <c r="BS635" s="34"/>
      <c r="BT635" s="34"/>
      <c r="BU635" s="34"/>
      <c r="BV635" s="34"/>
      <c r="BW635" s="34"/>
      <c r="BX635" s="34"/>
      <c r="BY635" s="4"/>
    </row>
    <row r="636" spans="1:77">
      <c r="A636" s="57"/>
      <c r="B636" s="56"/>
      <c r="C636" s="16"/>
      <c r="D636" s="16"/>
      <c r="E636" s="17"/>
      <c r="F636" s="16"/>
      <c r="G636" s="16"/>
      <c r="H636" s="16"/>
      <c r="I636" s="16"/>
      <c r="J636" s="1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5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16"/>
      <c r="BJ636" s="16"/>
      <c r="BK636" s="16"/>
      <c r="BL636" s="48"/>
      <c r="BM636" s="48"/>
      <c r="BN636" s="48"/>
      <c r="BO636" s="48"/>
      <c r="BP636" s="48"/>
      <c r="BQ636" s="48"/>
      <c r="BR636" s="36"/>
      <c r="BS636" s="36"/>
      <c r="BT636" s="36"/>
      <c r="BU636" s="36"/>
      <c r="BV636" s="36"/>
      <c r="BW636" s="36"/>
      <c r="BX636" s="36"/>
      <c r="BY636" s="6"/>
    </row>
    <row r="637" spans="1:77">
      <c r="A637" s="57"/>
      <c r="B637" s="19"/>
      <c r="C637" s="16"/>
      <c r="D637" s="16"/>
      <c r="E637" s="17"/>
      <c r="F637" s="16"/>
      <c r="G637" s="16"/>
      <c r="H637" s="16"/>
      <c r="I637" s="16"/>
      <c r="J637" s="1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5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16"/>
      <c r="BJ637" s="16"/>
      <c r="BK637" s="16"/>
      <c r="BL637" s="48"/>
      <c r="BM637" s="48"/>
      <c r="BN637" s="48"/>
      <c r="BO637" s="48"/>
      <c r="BP637" s="48"/>
      <c r="BQ637" s="48"/>
      <c r="BR637" s="36"/>
      <c r="BS637" s="36"/>
      <c r="BT637" s="36"/>
      <c r="BU637" s="36"/>
      <c r="BV637" s="36"/>
      <c r="BW637" s="36"/>
      <c r="BX637" s="36"/>
      <c r="BY637" s="6"/>
    </row>
    <row r="638" spans="1:77">
      <c r="A638" s="57"/>
      <c r="B638" s="16"/>
      <c r="C638" s="16"/>
      <c r="D638" s="16"/>
      <c r="E638" s="17"/>
      <c r="F638" s="16"/>
      <c r="G638" s="16"/>
      <c r="H638" s="16"/>
      <c r="I638" s="16"/>
      <c r="J638" s="1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5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16"/>
      <c r="BJ638" s="16"/>
      <c r="BK638" s="16"/>
      <c r="BL638" s="48"/>
      <c r="BM638" s="48"/>
      <c r="BN638" s="48"/>
      <c r="BO638" s="48"/>
      <c r="BP638" s="48"/>
      <c r="BQ638" s="48"/>
      <c r="BR638" s="36"/>
      <c r="BS638" s="36"/>
      <c r="BT638" s="36"/>
      <c r="BU638" s="36"/>
      <c r="BV638" s="36"/>
      <c r="BW638" s="36"/>
      <c r="BX638" s="36"/>
      <c r="BY638" s="6"/>
    </row>
    <row r="639" spans="1:77">
      <c r="A639" s="57"/>
      <c r="B639" s="16"/>
      <c r="C639" s="16"/>
      <c r="D639" s="16"/>
      <c r="E639" s="17"/>
      <c r="F639" s="16"/>
      <c r="G639" s="16"/>
      <c r="H639" s="16"/>
      <c r="I639" s="16"/>
      <c r="J639" s="1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5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16"/>
      <c r="BJ639" s="16"/>
      <c r="BK639" s="16"/>
      <c r="BL639" s="48"/>
      <c r="BM639" s="48"/>
      <c r="BN639" s="48"/>
      <c r="BO639" s="48"/>
      <c r="BP639" s="48"/>
      <c r="BQ639" s="48"/>
      <c r="BR639" s="36"/>
      <c r="BS639" s="36"/>
      <c r="BT639" s="36"/>
      <c r="BU639" s="36"/>
      <c r="BV639" s="36"/>
      <c r="BW639" s="36"/>
      <c r="BX639" s="36"/>
      <c r="BY639" s="6"/>
    </row>
    <row r="640" spans="1:77">
      <c r="A640" s="57"/>
      <c r="B640" s="16"/>
      <c r="C640" s="16"/>
      <c r="D640" s="16"/>
      <c r="E640" s="17"/>
      <c r="F640" s="16"/>
      <c r="G640" s="16"/>
      <c r="H640" s="16"/>
      <c r="I640" s="16"/>
      <c r="J640" s="1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5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16"/>
      <c r="BJ640" s="16"/>
      <c r="BK640" s="16"/>
      <c r="BL640" s="48"/>
      <c r="BM640" s="48"/>
      <c r="BN640" s="48"/>
      <c r="BO640" s="48"/>
      <c r="BP640" s="48"/>
      <c r="BQ640" s="48"/>
      <c r="BR640" s="36"/>
      <c r="BS640" s="36"/>
      <c r="BT640" s="36"/>
      <c r="BU640" s="36"/>
      <c r="BV640" s="36"/>
      <c r="BW640" s="36"/>
      <c r="BX640" s="36"/>
      <c r="BY640" s="6"/>
    </row>
    <row r="641" spans="1:77">
      <c r="A641" s="57"/>
      <c r="B641" s="16"/>
      <c r="C641" s="16"/>
      <c r="D641" s="16"/>
      <c r="E641" s="17"/>
      <c r="F641" s="16"/>
      <c r="G641" s="16"/>
      <c r="H641" s="16"/>
      <c r="I641" s="16"/>
      <c r="J641" s="1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5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16"/>
      <c r="BJ641" s="16"/>
      <c r="BK641" s="16"/>
      <c r="BL641" s="48"/>
      <c r="BM641" s="48"/>
      <c r="BN641" s="48"/>
      <c r="BO641" s="48"/>
      <c r="BP641" s="48"/>
      <c r="BQ641" s="48"/>
      <c r="BR641" s="36"/>
      <c r="BS641" s="36"/>
      <c r="BT641" s="36"/>
      <c r="BU641" s="36"/>
      <c r="BV641" s="36"/>
      <c r="BW641" s="36"/>
      <c r="BX641" s="36"/>
      <c r="BY641" s="6"/>
    </row>
    <row r="642" spans="1:77">
      <c r="A642" s="57"/>
      <c r="B642" s="16"/>
      <c r="C642" s="16" t="s">
        <v>99</v>
      </c>
      <c r="D642" s="16" t="s">
        <v>100</v>
      </c>
      <c r="E642" s="17"/>
      <c r="F642" s="16">
        <v>20</v>
      </c>
      <c r="G642" s="16"/>
      <c r="H642" s="16"/>
      <c r="I642" s="16">
        <v>1</v>
      </c>
      <c r="J642" s="16">
        <v>1</v>
      </c>
      <c r="K642" s="36"/>
      <c r="L642" s="36">
        <v>1</v>
      </c>
      <c r="M642" s="36"/>
      <c r="N642" s="36"/>
      <c r="O642" s="36" t="s">
        <v>101</v>
      </c>
      <c r="P642" s="36"/>
      <c r="Q642" s="36"/>
      <c r="R642" s="36">
        <v>1</v>
      </c>
      <c r="S642" s="36"/>
      <c r="T642" s="36"/>
      <c r="U642" s="36"/>
      <c r="V642" s="36"/>
      <c r="W642" s="36"/>
      <c r="X642" s="5">
        <v>1</v>
      </c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16"/>
      <c r="BJ642" s="16"/>
      <c r="BK642" s="16"/>
      <c r="BL642" s="48"/>
      <c r="BM642" s="48"/>
      <c r="BN642" s="48"/>
      <c r="BO642" s="48"/>
      <c r="BP642" s="48"/>
      <c r="BQ642" s="48"/>
      <c r="BR642" s="36"/>
      <c r="BS642" s="36"/>
      <c r="BT642" s="36"/>
      <c r="BU642" s="36"/>
      <c r="BV642" s="36"/>
      <c r="BW642" s="36"/>
      <c r="BX642" s="36"/>
      <c r="BY642" s="6"/>
    </row>
    <row r="643" spans="1:77">
      <c r="A643" s="57"/>
      <c r="B643" s="16"/>
      <c r="C643" s="16"/>
      <c r="D643" s="16"/>
      <c r="E643" s="17"/>
      <c r="F643" s="16"/>
      <c r="G643" s="16"/>
      <c r="H643" s="16"/>
      <c r="I643" s="16"/>
      <c r="J643" s="1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5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16"/>
      <c r="BJ643" s="16"/>
      <c r="BK643" s="16"/>
      <c r="BL643" s="48"/>
      <c r="BM643" s="48"/>
      <c r="BN643" s="48"/>
      <c r="BO643" s="48"/>
      <c r="BP643" s="48"/>
      <c r="BQ643" s="48"/>
      <c r="BR643" s="36"/>
      <c r="BS643" s="36"/>
      <c r="BT643" s="36"/>
      <c r="BU643" s="36"/>
      <c r="BV643" s="36"/>
      <c r="BW643" s="36"/>
      <c r="BX643" s="36"/>
      <c r="BY643" s="6"/>
    </row>
    <row r="644" spans="1:77">
      <c r="A644" s="57"/>
      <c r="B644" s="16"/>
      <c r="C644" s="16"/>
      <c r="D644" s="16"/>
      <c r="E644" s="17"/>
      <c r="F644" s="16"/>
      <c r="G644" s="16"/>
      <c r="H644" s="16"/>
      <c r="I644" s="16"/>
      <c r="J644" s="1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5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16"/>
      <c r="BJ644" s="16"/>
      <c r="BK644" s="16"/>
      <c r="BL644" s="48"/>
      <c r="BM644" s="48"/>
      <c r="BN644" s="48"/>
      <c r="BO644" s="48"/>
      <c r="BP644" s="48"/>
      <c r="BQ644" s="48"/>
      <c r="BR644" s="36"/>
      <c r="BS644" s="36"/>
      <c r="BT644" s="36"/>
      <c r="BU644" s="36"/>
      <c r="BV644" s="36"/>
      <c r="BW644" s="36"/>
      <c r="BX644" s="36"/>
      <c r="BY644" s="6"/>
    </row>
    <row r="645" spans="1:77">
      <c r="A645" s="1" t="s">
        <v>76</v>
      </c>
      <c r="B645" s="13"/>
      <c r="C645" s="13"/>
      <c r="D645" s="13"/>
      <c r="E645" s="14">
        <f>SUM(E551:E644)</f>
        <v>0</v>
      </c>
      <c r="F645" s="13"/>
      <c r="G645" s="13">
        <f t="shared" ref="G645:N645" si="23">SUM(G551:G644)</f>
        <v>0</v>
      </c>
      <c r="H645" s="13">
        <f t="shared" si="23"/>
        <v>0</v>
      </c>
      <c r="I645" s="13">
        <f t="shared" si="23"/>
        <v>1</v>
      </c>
      <c r="J645" s="13">
        <f t="shared" si="23"/>
        <v>1</v>
      </c>
      <c r="K645" s="34">
        <f t="shared" si="23"/>
        <v>0</v>
      </c>
      <c r="L645" s="34">
        <f t="shared" si="23"/>
        <v>1</v>
      </c>
      <c r="M645" s="34">
        <f t="shared" si="23"/>
        <v>0</v>
      </c>
      <c r="N645" s="34">
        <f t="shared" si="23"/>
        <v>0</v>
      </c>
      <c r="O645" s="34"/>
      <c r="P645" s="34">
        <f t="shared" ref="P645:U645" si="24">SUM(P551:P644)</f>
        <v>0</v>
      </c>
      <c r="Q645" s="34">
        <f t="shared" si="24"/>
        <v>0</v>
      </c>
      <c r="R645" s="34">
        <f t="shared" si="24"/>
        <v>1</v>
      </c>
      <c r="S645" s="34">
        <f t="shared" si="24"/>
        <v>0</v>
      </c>
      <c r="T645" s="34">
        <f t="shared" si="24"/>
        <v>0</v>
      </c>
      <c r="U645" s="34">
        <f t="shared" si="24"/>
        <v>0</v>
      </c>
      <c r="V645" s="34"/>
      <c r="W645" s="34">
        <f t="shared" ref="W645:BB645" si="25">SUM(W551:W644)</f>
        <v>0</v>
      </c>
      <c r="X645" s="3">
        <f t="shared" si="25"/>
        <v>1</v>
      </c>
      <c r="Y645" s="39">
        <f t="shared" si="25"/>
        <v>0</v>
      </c>
      <c r="Z645" s="39">
        <f t="shared" si="25"/>
        <v>0</v>
      </c>
      <c r="AA645" s="39">
        <f t="shared" si="25"/>
        <v>0</v>
      </c>
      <c r="AB645" s="39">
        <f t="shared" si="25"/>
        <v>0</v>
      </c>
      <c r="AC645" s="39">
        <f t="shared" si="25"/>
        <v>0</v>
      </c>
      <c r="AD645" s="39">
        <f t="shared" si="25"/>
        <v>0</v>
      </c>
      <c r="AE645" s="39">
        <f t="shared" si="25"/>
        <v>0</v>
      </c>
      <c r="AF645" s="39">
        <f t="shared" si="25"/>
        <v>0</v>
      </c>
      <c r="AG645" s="39">
        <f t="shared" si="25"/>
        <v>0</v>
      </c>
      <c r="AH645" s="39">
        <f t="shared" si="25"/>
        <v>0</v>
      </c>
      <c r="AI645" s="39">
        <f t="shared" si="25"/>
        <v>0</v>
      </c>
      <c r="AJ645" s="39">
        <f t="shared" si="25"/>
        <v>0</v>
      </c>
      <c r="AK645" s="39">
        <f t="shared" si="25"/>
        <v>0</v>
      </c>
      <c r="AL645" s="39">
        <f t="shared" si="25"/>
        <v>0</v>
      </c>
      <c r="AM645" s="28">
        <f t="shared" si="25"/>
        <v>0</v>
      </c>
      <c r="AN645" s="28">
        <f t="shared" si="25"/>
        <v>0</v>
      </c>
      <c r="AO645" s="28">
        <f t="shared" si="25"/>
        <v>0</v>
      </c>
      <c r="AP645" s="28">
        <f t="shared" si="25"/>
        <v>0</v>
      </c>
      <c r="AQ645" s="28">
        <f t="shared" si="25"/>
        <v>0</v>
      </c>
      <c r="AR645" s="28">
        <f t="shared" si="25"/>
        <v>0</v>
      </c>
      <c r="AS645" s="28">
        <f t="shared" si="25"/>
        <v>0</v>
      </c>
      <c r="AT645" s="28">
        <f t="shared" si="25"/>
        <v>0</v>
      </c>
      <c r="AU645" s="28">
        <f t="shared" si="25"/>
        <v>0</v>
      </c>
      <c r="AV645" s="28">
        <f t="shared" si="25"/>
        <v>0</v>
      </c>
      <c r="AW645" s="28">
        <f t="shared" si="25"/>
        <v>0</v>
      </c>
      <c r="AX645" s="43">
        <f t="shared" si="25"/>
        <v>0</v>
      </c>
      <c r="AY645" s="43">
        <f t="shared" si="25"/>
        <v>0</v>
      </c>
      <c r="AZ645" s="43">
        <f t="shared" si="25"/>
        <v>0</v>
      </c>
      <c r="BA645" s="43">
        <f t="shared" si="25"/>
        <v>0</v>
      </c>
      <c r="BB645" s="43">
        <f t="shared" si="25"/>
        <v>0</v>
      </c>
      <c r="BC645" s="43">
        <f t="shared" ref="BC645:BW645" si="26">SUM(BC551:BC644)</f>
        <v>0</v>
      </c>
      <c r="BD645" s="43">
        <f t="shared" si="26"/>
        <v>0</v>
      </c>
      <c r="BE645" s="43">
        <f t="shared" si="26"/>
        <v>0</v>
      </c>
      <c r="BF645" s="43">
        <f t="shared" si="26"/>
        <v>0</v>
      </c>
      <c r="BG645" s="43">
        <f t="shared" si="26"/>
        <v>0</v>
      </c>
      <c r="BH645" s="43">
        <f t="shared" si="26"/>
        <v>0</v>
      </c>
      <c r="BI645" s="13">
        <f t="shared" si="26"/>
        <v>0</v>
      </c>
      <c r="BJ645" s="13">
        <f t="shared" si="26"/>
        <v>0</v>
      </c>
      <c r="BK645" s="13">
        <f t="shared" si="26"/>
        <v>0</v>
      </c>
      <c r="BL645" s="46">
        <f t="shared" si="26"/>
        <v>0</v>
      </c>
      <c r="BM645" s="46">
        <f t="shared" si="26"/>
        <v>0</v>
      </c>
      <c r="BN645" s="46">
        <f t="shared" si="26"/>
        <v>0</v>
      </c>
      <c r="BO645" s="46">
        <f t="shared" si="26"/>
        <v>0</v>
      </c>
      <c r="BP645" s="46">
        <f t="shared" si="26"/>
        <v>0</v>
      </c>
      <c r="BQ645" s="46">
        <f t="shared" si="26"/>
        <v>0</v>
      </c>
      <c r="BR645" s="34">
        <f t="shared" si="26"/>
        <v>0</v>
      </c>
      <c r="BS645" s="34">
        <f t="shared" si="26"/>
        <v>0</v>
      </c>
      <c r="BT645" s="34">
        <f t="shared" si="26"/>
        <v>0</v>
      </c>
      <c r="BU645" s="34">
        <f t="shared" si="26"/>
        <v>0</v>
      </c>
      <c r="BV645" s="34">
        <f t="shared" si="26"/>
        <v>0</v>
      </c>
      <c r="BW645" s="34">
        <f t="shared" si="26"/>
        <v>0</v>
      </c>
      <c r="BX645" s="34"/>
      <c r="BY645" s="4"/>
    </row>
    <row r="646" spans="1:77">
      <c r="B646" s="18"/>
      <c r="C646" s="18"/>
      <c r="D646" s="18"/>
      <c r="E646" s="18"/>
      <c r="F646" s="18"/>
      <c r="G646" s="18"/>
      <c r="H646" s="18"/>
      <c r="I646" s="18"/>
      <c r="J646" s="18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18"/>
      <c r="BJ646" s="18"/>
      <c r="BK646" s="18"/>
      <c r="BL646" s="47"/>
      <c r="BM646" s="47"/>
      <c r="BN646" s="47"/>
      <c r="BO646" s="47"/>
      <c r="BP646" s="47"/>
      <c r="BQ646" s="47"/>
      <c r="BR646" s="35"/>
      <c r="BS646" s="35"/>
      <c r="BT646" s="35"/>
      <c r="BU646" s="35"/>
      <c r="BV646" s="35"/>
      <c r="BW646" s="35"/>
      <c r="BX646" s="35"/>
    </row>
    <row r="647" spans="1:77" ht="159.6">
      <c r="A647" s="2" t="s">
        <v>77</v>
      </c>
      <c r="B647" s="11" t="s">
        <v>1</v>
      </c>
      <c r="C647" s="11" t="s">
        <v>2</v>
      </c>
      <c r="D647" s="11" t="s">
        <v>3</v>
      </c>
      <c r="E647" s="11" t="s">
        <v>4</v>
      </c>
      <c r="F647" s="11" t="s">
        <v>5</v>
      </c>
      <c r="G647" s="11" t="s">
        <v>6</v>
      </c>
      <c r="H647" s="11" t="s">
        <v>7</v>
      </c>
      <c r="I647" s="11" t="s">
        <v>8</v>
      </c>
      <c r="J647" s="11" t="s">
        <v>89</v>
      </c>
      <c r="K647" s="33" t="s">
        <v>10</v>
      </c>
      <c r="L647" s="33" t="s">
        <v>11</v>
      </c>
      <c r="M647" s="33" t="s">
        <v>12</v>
      </c>
      <c r="N647" s="33" t="s">
        <v>13</v>
      </c>
      <c r="O647" s="33" t="s">
        <v>14</v>
      </c>
      <c r="P647" s="33" t="s">
        <v>15</v>
      </c>
      <c r="Q647" s="33" t="s">
        <v>16</v>
      </c>
      <c r="R647" s="33" t="s">
        <v>17</v>
      </c>
      <c r="S647" s="33" t="s">
        <v>18</v>
      </c>
      <c r="T647" s="33" t="s">
        <v>79</v>
      </c>
      <c r="U647" s="33" t="s">
        <v>20</v>
      </c>
      <c r="V647" s="33" t="s">
        <v>21</v>
      </c>
      <c r="W647" s="33" t="s">
        <v>22</v>
      </c>
      <c r="X647" s="9" t="s">
        <v>95</v>
      </c>
      <c r="Y647" s="38" t="s">
        <v>24</v>
      </c>
      <c r="Z647" s="38" t="s">
        <v>25</v>
      </c>
      <c r="AA647" s="38" t="s">
        <v>26</v>
      </c>
      <c r="AB647" s="38" t="s">
        <v>102</v>
      </c>
      <c r="AC647" s="38" t="s">
        <v>28</v>
      </c>
      <c r="AD647" s="38" t="s">
        <v>29</v>
      </c>
      <c r="AE647" s="38" t="s">
        <v>30</v>
      </c>
      <c r="AF647" s="38" t="s">
        <v>31</v>
      </c>
      <c r="AG647" s="38" t="s">
        <v>32</v>
      </c>
      <c r="AH647" s="38" t="s">
        <v>33</v>
      </c>
      <c r="AI647" s="38" t="s">
        <v>34</v>
      </c>
      <c r="AJ647" s="38" t="s">
        <v>35</v>
      </c>
      <c r="AK647" s="38" t="s">
        <v>36</v>
      </c>
      <c r="AL647" s="38" t="s">
        <v>37</v>
      </c>
      <c r="AM647" s="27" t="s">
        <v>38</v>
      </c>
      <c r="AN647" s="27" t="s">
        <v>39</v>
      </c>
      <c r="AO647" s="27" t="s">
        <v>40</v>
      </c>
      <c r="AP647" s="27" t="s">
        <v>41</v>
      </c>
      <c r="AQ647" s="27" t="s">
        <v>42</v>
      </c>
      <c r="AR647" s="27" t="s">
        <v>43</v>
      </c>
      <c r="AS647" s="27" t="s">
        <v>44</v>
      </c>
      <c r="AT647" s="27" t="s">
        <v>45</v>
      </c>
      <c r="AU647" s="27" t="s">
        <v>46</v>
      </c>
      <c r="AV647" s="27" t="s">
        <v>47</v>
      </c>
      <c r="AW647" s="27" t="s">
        <v>37</v>
      </c>
      <c r="AX647" s="42" t="s">
        <v>48</v>
      </c>
      <c r="AY647" s="42" t="s">
        <v>49</v>
      </c>
      <c r="AZ647" s="42" t="s">
        <v>50</v>
      </c>
      <c r="BA647" s="42" t="s">
        <v>51</v>
      </c>
      <c r="BB647" s="42" t="s">
        <v>52</v>
      </c>
      <c r="BC647" s="42" t="s">
        <v>53</v>
      </c>
      <c r="BD647" s="42" t="s">
        <v>54</v>
      </c>
      <c r="BE647" s="42" t="s">
        <v>55</v>
      </c>
      <c r="BF647" s="42" t="s">
        <v>56</v>
      </c>
      <c r="BG647" s="42" t="s">
        <v>57</v>
      </c>
      <c r="BH647" s="42" t="s">
        <v>58</v>
      </c>
      <c r="BI647" s="11" t="s">
        <v>28</v>
      </c>
      <c r="BJ647" s="11" t="s">
        <v>59</v>
      </c>
      <c r="BK647" s="11" t="s">
        <v>60</v>
      </c>
      <c r="BL647" s="32" t="s">
        <v>61</v>
      </c>
      <c r="BM647" s="32" t="s">
        <v>62</v>
      </c>
      <c r="BN647" s="32" t="s">
        <v>63</v>
      </c>
      <c r="BO647" s="32" t="s">
        <v>64</v>
      </c>
      <c r="BP647" s="32" t="s">
        <v>65</v>
      </c>
      <c r="BQ647" s="32" t="s">
        <v>66</v>
      </c>
      <c r="BR647" s="33" t="s">
        <v>67</v>
      </c>
      <c r="BS647" s="33" t="s">
        <v>68</v>
      </c>
      <c r="BT647" s="33" t="s">
        <v>69</v>
      </c>
      <c r="BU647" s="33" t="s">
        <v>70</v>
      </c>
      <c r="BV647" s="33" t="s">
        <v>71</v>
      </c>
      <c r="BW647" s="33" t="s">
        <v>82</v>
      </c>
      <c r="BX647" s="33" t="s">
        <v>73</v>
      </c>
      <c r="BY647" s="10" t="s">
        <v>74</v>
      </c>
    </row>
    <row r="648" spans="1:77">
      <c r="A648" s="57" t="s">
        <v>103</v>
      </c>
      <c r="B648" s="12"/>
      <c r="C648" s="13"/>
      <c r="D648" s="13"/>
      <c r="E648" s="14"/>
      <c r="F648" s="13"/>
      <c r="G648" s="13"/>
      <c r="H648" s="13"/>
      <c r="I648" s="13"/>
      <c r="J648" s="13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13"/>
      <c r="BJ648" s="13"/>
      <c r="BK648" s="13"/>
      <c r="BL648" s="46"/>
      <c r="BM648" s="46"/>
      <c r="BN648" s="46"/>
      <c r="BO648" s="46"/>
      <c r="BP648" s="46"/>
      <c r="BQ648" s="46"/>
      <c r="BR648" s="34"/>
      <c r="BS648" s="34"/>
      <c r="BT648" s="34"/>
      <c r="BU648" s="34"/>
      <c r="BV648" s="34"/>
      <c r="BW648" s="34"/>
      <c r="BX648" s="34"/>
      <c r="BY648" s="4"/>
    </row>
    <row r="649" spans="1:77">
      <c r="A649" s="57"/>
      <c r="B649" s="12"/>
      <c r="C649" s="13"/>
      <c r="D649" s="13"/>
      <c r="E649" s="14"/>
      <c r="F649" s="13"/>
      <c r="G649" s="13"/>
      <c r="H649" s="13"/>
      <c r="I649" s="13"/>
      <c r="J649" s="13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13"/>
      <c r="BJ649" s="13"/>
      <c r="BK649" s="13"/>
      <c r="BL649" s="46"/>
      <c r="BM649" s="46"/>
      <c r="BN649" s="46"/>
      <c r="BO649" s="46"/>
      <c r="BP649" s="46"/>
      <c r="BQ649" s="46"/>
      <c r="BR649" s="34"/>
      <c r="BS649" s="34"/>
      <c r="BT649" s="34"/>
      <c r="BU649" s="34"/>
      <c r="BV649" s="34"/>
      <c r="BW649" s="34"/>
      <c r="BX649" s="34"/>
      <c r="BY649" s="4"/>
    </row>
    <row r="650" spans="1:77">
      <c r="A650" s="57"/>
      <c r="B650" s="12"/>
      <c r="C650" s="13"/>
      <c r="D650" s="13"/>
      <c r="E650" s="14"/>
      <c r="F650" s="13"/>
      <c r="G650" s="13"/>
      <c r="H650" s="13"/>
      <c r="I650" s="13"/>
      <c r="J650" s="13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13"/>
      <c r="BJ650" s="13"/>
      <c r="BK650" s="13"/>
      <c r="BL650" s="46"/>
      <c r="BM650" s="46"/>
      <c r="BN650" s="46"/>
      <c r="BO650" s="46"/>
      <c r="BP650" s="46"/>
      <c r="BQ650" s="46"/>
      <c r="BR650" s="34"/>
      <c r="BS650" s="34"/>
      <c r="BT650" s="34"/>
      <c r="BU650" s="34"/>
      <c r="BV650" s="34"/>
      <c r="BW650" s="34"/>
      <c r="BX650" s="34"/>
      <c r="BY650" s="4"/>
    </row>
    <row r="651" spans="1:77">
      <c r="A651" s="57"/>
      <c r="B651" s="12"/>
      <c r="C651" s="13"/>
      <c r="D651" s="13"/>
      <c r="E651" s="14"/>
      <c r="F651" s="13"/>
      <c r="G651" s="13"/>
      <c r="H651" s="13"/>
      <c r="I651" s="13"/>
      <c r="J651" s="13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43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13"/>
      <c r="BJ651" s="13"/>
      <c r="BK651" s="13"/>
      <c r="BL651" s="46"/>
      <c r="BM651" s="46"/>
      <c r="BN651" s="46"/>
      <c r="BO651" s="46"/>
      <c r="BP651" s="46"/>
      <c r="BQ651" s="46"/>
      <c r="BR651" s="34"/>
      <c r="BS651" s="34"/>
      <c r="BT651" s="34"/>
      <c r="BU651" s="34"/>
      <c r="BV651" s="34"/>
      <c r="BW651" s="34"/>
      <c r="BX651" s="34"/>
      <c r="BY651" s="4"/>
    </row>
    <row r="652" spans="1:77">
      <c r="A652" s="57"/>
      <c r="B652" s="12"/>
      <c r="C652" s="13"/>
      <c r="D652" s="13"/>
      <c r="E652" s="14"/>
      <c r="F652" s="13"/>
      <c r="G652" s="13"/>
      <c r="H652" s="13"/>
      <c r="I652" s="13"/>
      <c r="J652" s="13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13"/>
      <c r="BJ652" s="13"/>
      <c r="BK652" s="13"/>
      <c r="BL652" s="46"/>
      <c r="BM652" s="46"/>
      <c r="BN652" s="46"/>
      <c r="BO652" s="46"/>
      <c r="BP652" s="46"/>
      <c r="BQ652" s="46"/>
      <c r="BR652" s="34"/>
      <c r="BS652" s="34"/>
      <c r="BT652" s="34"/>
      <c r="BU652" s="34"/>
      <c r="BV652" s="34"/>
      <c r="BW652" s="34"/>
      <c r="BX652" s="34"/>
      <c r="BY652" s="4"/>
    </row>
    <row r="653" spans="1:77">
      <c r="A653" s="57"/>
      <c r="B653" s="12"/>
      <c r="C653" s="13"/>
      <c r="D653" s="13"/>
      <c r="E653" s="14"/>
      <c r="F653" s="13"/>
      <c r="G653" s="13"/>
      <c r="H653" s="13"/>
      <c r="I653" s="13"/>
      <c r="J653" s="13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13"/>
      <c r="BJ653" s="13"/>
      <c r="BK653" s="13"/>
      <c r="BL653" s="46"/>
      <c r="BM653" s="46"/>
      <c r="BN653" s="46"/>
      <c r="BO653" s="46"/>
      <c r="BP653" s="46"/>
      <c r="BQ653" s="46"/>
      <c r="BR653" s="34"/>
      <c r="BS653" s="34"/>
      <c r="BT653" s="34"/>
      <c r="BU653" s="34"/>
      <c r="BV653" s="34"/>
      <c r="BW653" s="34"/>
      <c r="BX653" s="34"/>
      <c r="BY653" s="4"/>
    </row>
    <row r="654" spans="1:77">
      <c r="A654" s="57"/>
      <c r="B654" s="12"/>
      <c r="C654" s="13"/>
      <c r="D654" s="13"/>
      <c r="E654" s="14"/>
      <c r="F654" s="13"/>
      <c r="G654" s="13"/>
      <c r="H654" s="13"/>
      <c r="I654" s="13"/>
      <c r="J654" s="13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13"/>
      <c r="BJ654" s="13"/>
      <c r="BK654" s="13"/>
      <c r="BL654" s="46"/>
      <c r="BM654" s="46"/>
      <c r="BN654" s="46"/>
      <c r="BO654" s="46"/>
      <c r="BP654" s="46"/>
      <c r="BQ654" s="46"/>
      <c r="BR654" s="34"/>
      <c r="BS654" s="34"/>
      <c r="BT654" s="34"/>
      <c r="BU654" s="34"/>
      <c r="BV654" s="34"/>
      <c r="BW654" s="34"/>
      <c r="BX654" s="34"/>
      <c r="BY654" s="4"/>
    </row>
    <row r="655" spans="1:77">
      <c r="A655" s="57"/>
      <c r="B655" s="12"/>
      <c r="C655" s="13"/>
      <c r="D655" s="13"/>
      <c r="E655" s="14"/>
      <c r="F655" s="13"/>
      <c r="G655" s="13"/>
      <c r="H655" s="13"/>
      <c r="I655" s="13"/>
      <c r="J655" s="13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13"/>
      <c r="BJ655" s="13"/>
      <c r="BK655" s="13"/>
      <c r="BL655" s="46"/>
      <c r="BM655" s="46"/>
      <c r="BN655" s="46"/>
      <c r="BO655" s="46"/>
      <c r="BP655" s="46"/>
      <c r="BQ655" s="46"/>
      <c r="BR655" s="34"/>
      <c r="BS655" s="34"/>
      <c r="BT655" s="34"/>
      <c r="BU655" s="34"/>
      <c r="BV655" s="34"/>
      <c r="BW655" s="34"/>
      <c r="BX655" s="34"/>
      <c r="BY655" s="4"/>
    </row>
    <row r="656" spans="1:77">
      <c r="A656" s="57"/>
      <c r="B656" s="12"/>
      <c r="C656" s="13"/>
      <c r="D656" s="13"/>
      <c r="E656" s="14"/>
      <c r="F656" s="13"/>
      <c r="G656" s="13"/>
      <c r="H656" s="13"/>
      <c r="I656" s="13"/>
      <c r="J656" s="13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13"/>
      <c r="BJ656" s="13"/>
      <c r="BK656" s="13"/>
      <c r="BL656" s="46"/>
      <c r="BM656" s="46"/>
      <c r="BN656" s="46"/>
      <c r="BO656" s="46"/>
      <c r="BP656" s="46"/>
      <c r="BQ656" s="46"/>
      <c r="BR656" s="34"/>
      <c r="BS656" s="34"/>
      <c r="BT656" s="34"/>
      <c r="BU656" s="34"/>
      <c r="BV656" s="34"/>
      <c r="BW656" s="34"/>
      <c r="BX656" s="34"/>
      <c r="BY656" s="4"/>
    </row>
    <row r="657" spans="1:77">
      <c r="A657" s="57"/>
      <c r="B657" s="12"/>
      <c r="C657" s="13"/>
      <c r="D657" s="13"/>
      <c r="E657" s="14"/>
      <c r="F657" s="13"/>
      <c r="G657" s="13"/>
      <c r="H657" s="13"/>
      <c r="I657" s="13"/>
      <c r="J657" s="13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13"/>
      <c r="BJ657" s="13"/>
      <c r="BK657" s="13"/>
      <c r="BL657" s="46"/>
      <c r="BM657" s="46"/>
      <c r="BN657" s="46"/>
      <c r="BO657" s="46"/>
      <c r="BP657" s="46"/>
      <c r="BQ657" s="46"/>
      <c r="BR657" s="34"/>
      <c r="BS657" s="34"/>
      <c r="BT657" s="34"/>
      <c r="BU657" s="34"/>
      <c r="BV657" s="34"/>
      <c r="BW657" s="34"/>
      <c r="BX657" s="34"/>
      <c r="BY657" s="4"/>
    </row>
    <row r="658" spans="1:77">
      <c r="A658" s="57"/>
      <c r="B658" s="12"/>
      <c r="C658" s="13"/>
      <c r="D658" s="13"/>
      <c r="E658" s="14"/>
      <c r="F658" s="13"/>
      <c r="G658" s="13"/>
      <c r="H658" s="13"/>
      <c r="I658" s="13"/>
      <c r="J658" s="13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13"/>
      <c r="BJ658" s="13"/>
      <c r="BK658" s="13"/>
      <c r="BL658" s="46"/>
      <c r="BM658" s="46"/>
      <c r="BN658" s="46"/>
      <c r="BO658" s="46"/>
      <c r="BP658" s="46"/>
      <c r="BQ658" s="46"/>
      <c r="BR658" s="34"/>
      <c r="BS658" s="34"/>
      <c r="BT658" s="34"/>
      <c r="BU658" s="34"/>
      <c r="BV658" s="34"/>
      <c r="BW658" s="34"/>
      <c r="BX658" s="34"/>
      <c r="BY658" s="4"/>
    </row>
    <row r="659" spans="1:77">
      <c r="A659" s="57"/>
      <c r="B659" s="12"/>
      <c r="C659" s="13"/>
      <c r="D659" s="13"/>
      <c r="E659" s="14"/>
      <c r="F659" s="13"/>
      <c r="G659" s="13"/>
      <c r="H659" s="13"/>
      <c r="I659" s="13"/>
      <c r="J659" s="13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13"/>
      <c r="BJ659" s="13"/>
      <c r="BK659" s="13"/>
      <c r="BL659" s="46"/>
      <c r="BM659" s="46"/>
      <c r="BN659" s="46"/>
      <c r="BO659" s="46"/>
      <c r="BP659" s="46"/>
      <c r="BQ659" s="46"/>
      <c r="BR659" s="34"/>
      <c r="BS659" s="34"/>
      <c r="BT659" s="34"/>
      <c r="BU659" s="34"/>
      <c r="BV659" s="34"/>
      <c r="BW659" s="34"/>
      <c r="BX659" s="34"/>
      <c r="BY659" s="4"/>
    </row>
    <row r="660" spans="1:77">
      <c r="A660" s="57"/>
      <c r="B660" s="12"/>
      <c r="C660" s="13"/>
      <c r="D660" s="13"/>
      <c r="E660" s="14"/>
      <c r="F660" s="13"/>
      <c r="G660" s="13"/>
      <c r="H660" s="13"/>
      <c r="I660" s="13"/>
      <c r="J660" s="13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13"/>
      <c r="BJ660" s="13"/>
      <c r="BK660" s="13"/>
      <c r="BL660" s="46"/>
      <c r="BM660" s="46"/>
      <c r="BN660" s="46"/>
      <c r="BO660" s="46"/>
      <c r="BP660" s="46"/>
      <c r="BQ660" s="46"/>
      <c r="BR660" s="34"/>
      <c r="BS660" s="34"/>
      <c r="BT660" s="34"/>
      <c r="BU660" s="34"/>
      <c r="BV660" s="34"/>
      <c r="BW660" s="34"/>
      <c r="BX660" s="34"/>
      <c r="BY660" s="4"/>
    </row>
    <row r="661" spans="1:77">
      <c r="A661" s="57"/>
      <c r="B661" s="12"/>
      <c r="C661" s="13"/>
      <c r="D661" s="13"/>
      <c r="E661" s="14"/>
      <c r="F661" s="13"/>
      <c r="G661" s="13"/>
      <c r="H661" s="13"/>
      <c r="I661" s="13"/>
      <c r="J661" s="13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43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13"/>
      <c r="BJ661" s="13"/>
      <c r="BK661" s="13"/>
      <c r="BL661" s="46"/>
      <c r="BM661" s="46"/>
      <c r="BN661" s="46"/>
      <c r="BO661" s="46"/>
      <c r="BP661" s="46"/>
      <c r="BQ661" s="46"/>
      <c r="BR661" s="34"/>
      <c r="BS661" s="34"/>
      <c r="BT661" s="34"/>
      <c r="BU661" s="34"/>
      <c r="BV661" s="34"/>
      <c r="BW661" s="34"/>
      <c r="BX661" s="34"/>
      <c r="BY661" s="4"/>
    </row>
    <row r="662" spans="1:77">
      <c r="A662" s="57"/>
      <c r="B662" s="12"/>
      <c r="C662" s="13"/>
      <c r="D662" s="13"/>
      <c r="E662" s="14"/>
      <c r="F662" s="13"/>
      <c r="G662" s="13"/>
      <c r="H662" s="13"/>
      <c r="I662" s="13"/>
      <c r="J662" s="13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43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13"/>
      <c r="BJ662" s="13"/>
      <c r="BK662" s="13"/>
      <c r="BL662" s="46"/>
      <c r="BM662" s="46"/>
      <c r="BN662" s="46"/>
      <c r="BO662" s="46"/>
      <c r="BP662" s="46"/>
      <c r="BQ662" s="46"/>
      <c r="BR662" s="34"/>
      <c r="BS662" s="34"/>
      <c r="BT662" s="34"/>
      <c r="BU662" s="34"/>
      <c r="BV662" s="34"/>
      <c r="BW662" s="34"/>
      <c r="BX662" s="34"/>
      <c r="BY662" s="4"/>
    </row>
    <row r="663" spans="1:77">
      <c r="A663" s="57"/>
      <c r="B663" s="12"/>
      <c r="C663" s="13"/>
      <c r="D663" s="13"/>
      <c r="E663" s="14"/>
      <c r="F663" s="13"/>
      <c r="G663" s="13"/>
      <c r="H663" s="13"/>
      <c r="I663" s="13"/>
      <c r="J663" s="13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43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13"/>
      <c r="BJ663" s="13"/>
      <c r="BK663" s="13"/>
      <c r="BL663" s="46"/>
      <c r="BM663" s="46"/>
      <c r="BN663" s="46"/>
      <c r="BO663" s="46"/>
      <c r="BP663" s="46"/>
      <c r="BQ663" s="46"/>
      <c r="BR663" s="34"/>
      <c r="BS663" s="34"/>
      <c r="BT663" s="34"/>
      <c r="BU663" s="34"/>
      <c r="BV663" s="34"/>
      <c r="BW663" s="34"/>
      <c r="BX663" s="34"/>
      <c r="BY663" s="4"/>
    </row>
    <row r="664" spans="1:77">
      <c r="A664" s="57"/>
      <c r="B664" s="12"/>
      <c r="C664" s="13"/>
      <c r="D664" s="13"/>
      <c r="E664" s="14"/>
      <c r="F664" s="13"/>
      <c r="G664" s="13"/>
      <c r="H664" s="13"/>
      <c r="I664" s="13"/>
      <c r="J664" s="13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43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13"/>
      <c r="BJ664" s="13"/>
      <c r="BK664" s="13"/>
      <c r="BL664" s="46"/>
      <c r="BM664" s="46"/>
      <c r="BN664" s="46"/>
      <c r="BO664" s="46"/>
      <c r="BP664" s="46"/>
      <c r="BQ664" s="46"/>
      <c r="BR664" s="34"/>
      <c r="BS664" s="34"/>
      <c r="BT664" s="34"/>
      <c r="BU664" s="34"/>
      <c r="BV664" s="34"/>
      <c r="BW664" s="34"/>
      <c r="BX664" s="34"/>
      <c r="BY664" s="4"/>
    </row>
    <row r="665" spans="1:77">
      <c r="A665" s="57"/>
      <c r="B665" s="12"/>
      <c r="C665" s="13"/>
      <c r="D665" s="13"/>
      <c r="E665" s="14"/>
      <c r="F665" s="13"/>
      <c r="G665" s="13"/>
      <c r="H665" s="13"/>
      <c r="I665" s="13"/>
      <c r="J665" s="13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43"/>
      <c r="AY665" s="43"/>
      <c r="AZ665" s="43"/>
      <c r="BA665" s="43"/>
      <c r="BB665" s="43"/>
      <c r="BC665" s="43"/>
      <c r="BD665" s="43"/>
      <c r="BE665" s="43"/>
      <c r="BF665" s="43"/>
      <c r="BG665" s="43"/>
      <c r="BH665" s="43"/>
      <c r="BI665" s="13"/>
      <c r="BJ665" s="13"/>
      <c r="BK665" s="13"/>
      <c r="BL665" s="46"/>
      <c r="BM665" s="46"/>
      <c r="BN665" s="46"/>
      <c r="BO665" s="46"/>
      <c r="BP665" s="46"/>
      <c r="BQ665" s="46"/>
      <c r="BR665" s="34"/>
      <c r="BS665" s="34"/>
      <c r="BT665" s="34"/>
      <c r="BU665" s="34"/>
      <c r="BV665" s="34"/>
      <c r="BW665" s="34"/>
      <c r="BX665" s="34"/>
      <c r="BY665" s="4"/>
    </row>
    <row r="666" spans="1:77">
      <c r="A666" s="57"/>
      <c r="B666" s="12"/>
      <c r="C666" s="13"/>
      <c r="D666" s="13"/>
      <c r="E666" s="14"/>
      <c r="F666" s="13"/>
      <c r="G666" s="13"/>
      <c r="H666" s="13"/>
      <c r="I666" s="13"/>
      <c r="J666" s="13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43"/>
      <c r="AY666" s="43"/>
      <c r="AZ666" s="43"/>
      <c r="BA666" s="43"/>
      <c r="BB666" s="43"/>
      <c r="BC666" s="43"/>
      <c r="BD666" s="43"/>
      <c r="BE666" s="43"/>
      <c r="BF666" s="43"/>
      <c r="BG666" s="43"/>
      <c r="BH666" s="43"/>
      <c r="BI666" s="13"/>
      <c r="BJ666" s="13"/>
      <c r="BK666" s="13"/>
      <c r="BL666" s="46"/>
      <c r="BM666" s="46"/>
      <c r="BN666" s="46"/>
      <c r="BO666" s="46"/>
      <c r="BP666" s="46"/>
      <c r="BQ666" s="46"/>
      <c r="BR666" s="34"/>
      <c r="BS666" s="34"/>
      <c r="BT666" s="34"/>
      <c r="BU666" s="34"/>
      <c r="BV666" s="34"/>
      <c r="BW666" s="34"/>
      <c r="BX666" s="34"/>
      <c r="BY666" s="4"/>
    </row>
    <row r="667" spans="1:77">
      <c r="A667" s="57"/>
      <c r="B667" s="12"/>
      <c r="C667" s="13"/>
      <c r="D667" s="13"/>
      <c r="E667" s="14"/>
      <c r="F667" s="13"/>
      <c r="G667" s="13"/>
      <c r="H667" s="13"/>
      <c r="I667" s="13"/>
      <c r="J667" s="13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43"/>
      <c r="AY667" s="43"/>
      <c r="AZ667" s="43"/>
      <c r="BA667" s="43"/>
      <c r="BB667" s="43"/>
      <c r="BC667" s="43"/>
      <c r="BD667" s="43"/>
      <c r="BE667" s="43"/>
      <c r="BF667" s="43"/>
      <c r="BG667" s="43"/>
      <c r="BH667" s="43"/>
      <c r="BI667" s="13"/>
      <c r="BJ667" s="13"/>
      <c r="BK667" s="13"/>
      <c r="BL667" s="46"/>
      <c r="BM667" s="46"/>
      <c r="BN667" s="46"/>
      <c r="BO667" s="46"/>
      <c r="BP667" s="46"/>
      <c r="BQ667" s="46"/>
      <c r="BR667" s="34"/>
      <c r="BS667" s="34"/>
      <c r="BT667" s="34"/>
      <c r="BU667" s="34"/>
      <c r="BV667" s="34"/>
      <c r="BW667" s="34"/>
      <c r="BX667" s="34"/>
      <c r="BY667" s="4"/>
    </row>
    <row r="668" spans="1:77">
      <c r="A668" s="57"/>
      <c r="B668" s="13"/>
      <c r="C668" s="13"/>
      <c r="D668" s="13"/>
      <c r="E668" s="14"/>
      <c r="F668" s="13"/>
      <c r="G668" s="13"/>
      <c r="H668" s="13"/>
      <c r="I668" s="13"/>
      <c r="J668" s="13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43"/>
      <c r="AY668" s="43"/>
      <c r="AZ668" s="43"/>
      <c r="BA668" s="43"/>
      <c r="BB668" s="43"/>
      <c r="BC668" s="43"/>
      <c r="BD668" s="43"/>
      <c r="BE668" s="43"/>
      <c r="BF668" s="43"/>
      <c r="BG668" s="43"/>
      <c r="BH668" s="43"/>
      <c r="BI668" s="13"/>
      <c r="BJ668" s="13"/>
      <c r="BK668" s="13"/>
      <c r="BL668" s="46"/>
      <c r="BM668" s="46"/>
      <c r="BN668" s="46"/>
      <c r="BO668" s="46"/>
      <c r="BP668" s="46"/>
      <c r="BQ668" s="46"/>
      <c r="BR668" s="34"/>
      <c r="BS668" s="34"/>
      <c r="BT668" s="34"/>
      <c r="BU668" s="34"/>
      <c r="BV668" s="34"/>
      <c r="BW668" s="34"/>
      <c r="BX668" s="34"/>
      <c r="BY668" s="4"/>
    </row>
    <row r="669" spans="1:77">
      <c r="A669" s="57"/>
      <c r="B669" s="12"/>
      <c r="C669" s="13"/>
      <c r="D669" s="13"/>
      <c r="E669" s="14"/>
      <c r="F669" s="13"/>
      <c r="G669" s="13"/>
      <c r="H669" s="13"/>
      <c r="I669" s="13"/>
      <c r="J669" s="13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43"/>
      <c r="AY669" s="43"/>
      <c r="AZ669" s="43"/>
      <c r="BA669" s="43"/>
      <c r="BB669" s="43"/>
      <c r="BC669" s="43"/>
      <c r="BD669" s="43"/>
      <c r="BE669" s="43"/>
      <c r="BF669" s="43"/>
      <c r="BG669" s="43"/>
      <c r="BH669" s="43"/>
      <c r="BI669" s="13"/>
      <c r="BJ669" s="13"/>
      <c r="BK669" s="13"/>
      <c r="BL669" s="46"/>
      <c r="BM669" s="46"/>
      <c r="BN669" s="46"/>
      <c r="BO669" s="46"/>
      <c r="BP669" s="46"/>
      <c r="BQ669" s="46"/>
      <c r="BR669" s="34"/>
      <c r="BS669" s="34"/>
      <c r="BT669" s="34"/>
      <c r="BU669" s="34"/>
      <c r="BV669" s="34"/>
      <c r="BW669" s="34"/>
      <c r="BX669" s="34"/>
      <c r="BY669" s="4"/>
    </row>
    <row r="670" spans="1:77">
      <c r="A670" s="57"/>
      <c r="B670" s="13"/>
      <c r="C670" s="13"/>
      <c r="D670" s="13"/>
      <c r="E670" s="14"/>
      <c r="F670" s="13"/>
      <c r="G670" s="13"/>
      <c r="H670" s="13"/>
      <c r="I670" s="13"/>
      <c r="J670" s="13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13"/>
      <c r="BJ670" s="13"/>
      <c r="BK670" s="13"/>
      <c r="BL670" s="46"/>
      <c r="BM670" s="46"/>
      <c r="BN670" s="46"/>
      <c r="BO670" s="46"/>
      <c r="BP670" s="46"/>
      <c r="BQ670" s="46"/>
      <c r="BR670" s="34"/>
      <c r="BS670" s="34"/>
      <c r="BT670" s="34"/>
      <c r="BU670" s="34"/>
      <c r="BV670" s="34"/>
      <c r="BW670" s="34"/>
      <c r="BX670" s="34"/>
      <c r="BY670" s="4"/>
    </row>
    <row r="671" spans="1:77">
      <c r="A671" s="57"/>
      <c r="B671" s="13"/>
      <c r="C671" s="13"/>
      <c r="D671" s="13"/>
      <c r="E671" s="14"/>
      <c r="F671" s="13"/>
      <c r="G671" s="13"/>
      <c r="H671" s="13"/>
      <c r="I671" s="13"/>
      <c r="J671" s="13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13"/>
      <c r="BJ671" s="13"/>
      <c r="BK671" s="13"/>
      <c r="BL671" s="46"/>
      <c r="BM671" s="46"/>
      <c r="BN671" s="46"/>
      <c r="BO671" s="46"/>
      <c r="BP671" s="46"/>
      <c r="BQ671" s="46"/>
      <c r="BR671" s="34"/>
      <c r="BS671" s="34"/>
      <c r="BT671" s="34"/>
      <c r="BU671" s="34"/>
      <c r="BV671" s="34"/>
      <c r="BW671" s="34"/>
      <c r="BX671" s="34"/>
      <c r="BY671" s="4"/>
    </row>
    <row r="672" spans="1:77">
      <c r="A672" s="57"/>
      <c r="B672" s="13"/>
      <c r="C672" s="13"/>
      <c r="D672" s="13"/>
      <c r="E672" s="14"/>
      <c r="F672" s="13"/>
      <c r="G672" s="13"/>
      <c r="H672" s="13"/>
      <c r="I672" s="13"/>
      <c r="J672" s="13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13"/>
      <c r="BJ672" s="13"/>
      <c r="BK672" s="13"/>
      <c r="BL672" s="46"/>
      <c r="BM672" s="46"/>
      <c r="BN672" s="46"/>
      <c r="BO672" s="46"/>
      <c r="BP672" s="46"/>
      <c r="BQ672" s="46"/>
      <c r="BR672" s="34"/>
      <c r="BS672" s="34"/>
      <c r="BT672" s="34"/>
      <c r="BU672" s="34"/>
      <c r="BV672" s="34"/>
      <c r="BW672" s="34"/>
      <c r="BX672" s="34"/>
      <c r="BY672" s="4"/>
    </row>
    <row r="673" spans="1:77">
      <c r="A673" s="57"/>
      <c r="B673" s="12"/>
      <c r="C673" s="13"/>
      <c r="D673" s="13"/>
      <c r="E673" s="14"/>
      <c r="F673" s="13"/>
      <c r="G673" s="13"/>
      <c r="H673" s="13"/>
      <c r="I673" s="13"/>
      <c r="J673" s="13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13"/>
      <c r="BJ673" s="13"/>
      <c r="BK673" s="13"/>
      <c r="BL673" s="46"/>
      <c r="BM673" s="46"/>
      <c r="BN673" s="46"/>
      <c r="BO673" s="46"/>
      <c r="BP673" s="46"/>
      <c r="BQ673" s="46"/>
      <c r="BR673" s="34"/>
      <c r="BS673" s="34"/>
      <c r="BT673" s="34"/>
      <c r="BU673" s="34"/>
      <c r="BV673" s="34"/>
      <c r="BW673" s="34"/>
      <c r="BX673" s="34"/>
      <c r="BY673" s="4"/>
    </row>
    <row r="674" spans="1:77">
      <c r="A674" s="57"/>
      <c r="B674" s="13"/>
      <c r="C674" s="13"/>
      <c r="D674" s="13"/>
      <c r="E674" s="14"/>
      <c r="F674" s="13"/>
      <c r="G674" s="13"/>
      <c r="H674" s="13"/>
      <c r="I674" s="13"/>
      <c r="J674" s="13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13"/>
      <c r="BJ674" s="13"/>
      <c r="BK674" s="13"/>
      <c r="BL674" s="46"/>
      <c r="BM674" s="46"/>
      <c r="BN674" s="46"/>
      <c r="BO674" s="46"/>
      <c r="BP674" s="46"/>
      <c r="BQ674" s="46"/>
      <c r="BR674" s="34"/>
      <c r="BS674" s="34"/>
      <c r="BT674" s="34"/>
      <c r="BU674" s="34"/>
      <c r="BV674" s="34"/>
      <c r="BW674" s="34"/>
      <c r="BX674" s="34"/>
      <c r="BY674" s="4"/>
    </row>
    <row r="675" spans="1:77">
      <c r="A675" s="57"/>
      <c r="B675" s="12"/>
      <c r="C675" s="13"/>
      <c r="D675" s="13"/>
      <c r="E675" s="14"/>
      <c r="F675" s="13"/>
      <c r="G675" s="13"/>
      <c r="H675" s="13"/>
      <c r="I675" s="13"/>
      <c r="J675" s="13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13"/>
      <c r="BJ675" s="13"/>
      <c r="BK675" s="13"/>
      <c r="BL675" s="46"/>
      <c r="BM675" s="46"/>
      <c r="BN675" s="46"/>
      <c r="BO675" s="46"/>
      <c r="BP675" s="46"/>
      <c r="BQ675" s="46"/>
      <c r="BR675" s="34"/>
      <c r="BS675" s="34"/>
      <c r="BT675" s="34"/>
      <c r="BU675" s="34"/>
      <c r="BV675" s="34"/>
      <c r="BW675" s="34"/>
      <c r="BX675" s="34"/>
      <c r="BY675" s="4"/>
    </row>
    <row r="676" spans="1:77">
      <c r="A676" s="57"/>
      <c r="B676" s="13"/>
      <c r="C676" s="13"/>
      <c r="D676" s="13"/>
      <c r="E676" s="14"/>
      <c r="F676" s="13"/>
      <c r="G676" s="13"/>
      <c r="H676" s="13"/>
      <c r="I676" s="13"/>
      <c r="J676" s="13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43"/>
      <c r="AY676" s="43"/>
      <c r="AZ676" s="43"/>
      <c r="BA676" s="43"/>
      <c r="BB676" s="43"/>
      <c r="BC676" s="43"/>
      <c r="BD676" s="43"/>
      <c r="BE676" s="43"/>
      <c r="BF676" s="43"/>
      <c r="BG676" s="43"/>
      <c r="BH676" s="43"/>
      <c r="BI676" s="13"/>
      <c r="BJ676" s="13"/>
      <c r="BK676" s="13"/>
      <c r="BL676" s="46"/>
      <c r="BM676" s="46"/>
      <c r="BN676" s="46"/>
      <c r="BO676" s="46"/>
      <c r="BP676" s="46"/>
      <c r="BQ676" s="46"/>
      <c r="BR676" s="34"/>
      <c r="BS676" s="34"/>
      <c r="BT676" s="34"/>
      <c r="BU676" s="34"/>
      <c r="BV676" s="34"/>
      <c r="BW676" s="34"/>
      <c r="BX676" s="34"/>
      <c r="BY676" s="4"/>
    </row>
    <row r="677" spans="1:77">
      <c r="A677" s="57"/>
      <c r="B677" s="13"/>
      <c r="C677" s="13"/>
      <c r="D677" s="13"/>
      <c r="E677" s="14"/>
      <c r="F677" s="13"/>
      <c r="G677" s="13"/>
      <c r="H677" s="13"/>
      <c r="I677" s="13"/>
      <c r="J677" s="13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43"/>
      <c r="AY677" s="43"/>
      <c r="AZ677" s="43"/>
      <c r="BA677" s="43"/>
      <c r="BB677" s="43"/>
      <c r="BC677" s="43"/>
      <c r="BD677" s="43"/>
      <c r="BE677" s="43"/>
      <c r="BF677" s="43"/>
      <c r="BG677" s="43"/>
      <c r="BH677" s="43"/>
      <c r="BI677" s="13"/>
      <c r="BJ677" s="13"/>
      <c r="BK677" s="13"/>
      <c r="BL677" s="46"/>
      <c r="BM677" s="46"/>
      <c r="BN677" s="46"/>
      <c r="BO677" s="46"/>
      <c r="BP677" s="46"/>
      <c r="BQ677" s="46"/>
      <c r="BR677" s="34"/>
      <c r="BS677" s="34"/>
      <c r="BT677" s="34"/>
      <c r="BU677" s="34"/>
      <c r="BV677" s="34"/>
      <c r="BW677" s="34"/>
      <c r="BX677" s="34"/>
      <c r="BY677" s="4"/>
    </row>
    <row r="678" spans="1:77">
      <c r="A678" s="57"/>
      <c r="B678" s="13"/>
      <c r="C678" s="13"/>
      <c r="D678" s="13"/>
      <c r="E678" s="14"/>
      <c r="F678" s="13"/>
      <c r="G678" s="13"/>
      <c r="H678" s="13"/>
      <c r="I678" s="13"/>
      <c r="J678" s="13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43"/>
      <c r="AY678" s="43"/>
      <c r="AZ678" s="43"/>
      <c r="BA678" s="43"/>
      <c r="BB678" s="43"/>
      <c r="BC678" s="43"/>
      <c r="BD678" s="43"/>
      <c r="BE678" s="43"/>
      <c r="BF678" s="43"/>
      <c r="BG678" s="43"/>
      <c r="BH678" s="43"/>
      <c r="BI678" s="13"/>
      <c r="BJ678" s="13"/>
      <c r="BK678" s="13"/>
      <c r="BL678" s="46"/>
      <c r="BM678" s="46"/>
      <c r="BN678" s="46"/>
      <c r="BO678" s="46"/>
      <c r="BP678" s="46"/>
      <c r="BQ678" s="46"/>
      <c r="BR678" s="34"/>
      <c r="BS678" s="34"/>
      <c r="BT678" s="34"/>
      <c r="BU678" s="34"/>
      <c r="BV678" s="34"/>
      <c r="BW678" s="34"/>
      <c r="BX678" s="34"/>
      <c r="BY678" s="4"/>
    </row>
    <row r="679" spans="1:77">
      <c r="A679" s="57"/>
      <c r="B679" s="12"/>
      <c r="C679" s="13"/>
      <c r="D679" s="13"/>
      <c r="E679" s="14"/>
      <c r="F679" s="13"/>
      <c r="G679" s="13"/>
      <c r="H679" s="13"/>
      <c r="I679" s="13"/>
      <c r="J679" s="13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43"/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13"/>
      <c r="BJ679" s="13"/>
      <c r="BK679" s="13"/>
      <c r="BL679" s="46"/>
      <c r="BM679" s="46"/>
      <c r="BN679" s="46"/>
      <c r="BO679" s="46"/>
      <c r="BP679" s="46"/>
      <c r="BQ679" s="46"/>
      <c r="BR679" s="34"/>
      <c r="BS679" s="34"/>
      <c r="BT679" s="34"/>
      <c r="BU679" s="34"/>
      <c r="BV679" s="34"/>
      <c r="BW679" s="34"/>
      <c r="BX679" s="34"/>
      <c r="BY679" s="4"/>
    </row>
    <row r="680" spans="1:77">
      <c r="A680" s="57"/>
      <c r="B680" s="13"/>
      <c r="C680" s="13"/>
      <c r="D680" s="13"/>
      <c r="E680" s="14"/>
      <c r="F680" s="13"/>
      <c r="G680" s="13"/>
      <c r="H680" s="13"/>
      <c r="I680" s="13"/>
      <c r="J680" s="13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43"/>
      <c r="AY680" s="43"/>
      <c r="AZ680" s="43"/>
      <c r="BA680" s="43"/>
      <c r="BB680" s="43"/>
      <c r="BC680" s="43"/>
      <c r="BD680" s="43"/>
      <c r="BE680" s="43"/>
      <c r="BF680" s="43"/>
      <c r="BG680" s="43"/>
      <c r="BH680" s="43"/>
      <c r="BI680" s="13"/>
      <c r="BJ680" s="13"/>
      <c r="BK680" s="13"/>
      <c r="BL680" s="46"/>
      <c r="BM680" s="46"/>
      <c r="BN680" s="46"/>
      <c r="BO680" s="46"/>
      <c r="BP680" s="46"/>
      <c r="BQ680" s="46"/>
      <c r="BR680" s="34"/>
      <c r="BS680" s="34"/>
      <c r="BT680" s="34"/>
      <c r="BU680" s="34"/>
      <c r="BV680" s="34"/>
      <c r="BW680" s="34"/>
      <c r="BX680" s="34"/>
      <c r="BY680" s="4"/>
    </row>
    <row r="681" spans="1:77">
      <c r="A681" s="57"/>
      <c r="B681" s="12"/>
      <c r="C681" s="13"/>
      <c r="D681" s="13"/>
      <c r="E681" s="14"/>
      <c r="F681" s="13"/>
      <c r="G681" s="13"/>
      <c r="H681" s="13"/>
      <c r="I681" s="13"/>
      <c r="J681" s="13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43"/>
      <c r="AY681" s="43"/>
      <c r="AZ681" s="43"/>
      <c r="BA681" s="43"/>
      <c r="BB681" s="43"/>
      <c r="BC681" s="43"/>
      <c r="BD681" s="43"/>
      <c r="BE681" s="43"/>
      <c r="BF681" s="43"/>
      <c r="BG681" s="43"/>
      <c r="BH681" s="43"/>
      <c r="BI681" s="13"/>
      <c r="BJ681" s="13"/>
      <c r="BK681" s="13"/>
      <c r="BL681" s="46"/>
      <c r="BM681" s="46"/>
      <c r="BN681" s="46"/>
      <c r="BO681" s="46"/>
      <c r="BP681" s="46"/>
      <c r="BQ681" s="46"/>
      <c r="BR681" s="34"/>
      <c r="BS681" s="34"/>
      <c r="BT681" s="34"/>
      <c r="BU681" s="34"/>
      <c r="BV681" s="34"/>
      <c r="BW681" s="34"/>
      <c r="BX681" s="34"/>
      <c r="BY681" s="4"/>
    </row>
    <row r="682" spans="1:77">
      <c r="A682" s="57"/>
      <c r="B682" s="12"/>
      <c r="C682" s="13"/>
      <c r="D682" s="13"/>
      <c r="E682" s="14"/>
      <c r="F682" s="13"/>
      <c r="G682" s="13"/>
      <c r="H682" s="13"/>
      <c r="I682" s="13"/>
      <c r="J682" s="13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43"/>
      <c r="AY682" s="43"/>
      <c r="AZ682" s="43"/>
      <c r="BA682" s="43"/>
      <c r="BB682" s="43"/>
      <c r="BC682" s="43"/>
      <c r="BD682" s="43"/>
      <c r="BE682" s="43"/>
      <c r="BF682" s="43"/>
      <c r="BG682" s="43"/>
      <c r="BH682" s="43"/>
      <c r="BI682" s="13"/>
      <c r="BJ682" s="13"/>
      <c r="BK682" s="13"/>
      <c r="BL682" s="46"/>
      <c r="BM682" s="46"/>
      <c r="BN682" s="46"/>
      <c r="BO682" s="46"/>
      <c r="BP682" s="46"/>
      <c r="BQ682" s="46"/>
      <c r="BR682" s="34"/>
      <c r="BS682" s="34"/>
      <c r="BT682" s="34"/>
      <c r="BU682" s="34"/>
      <c r="BV682" s="34"/>
      <c r="BW682" s="34"/>
      <c r="BX682" s="34"/>
      <c r="BY682" s="4"/>
    </row>
    <row r="683" spans="1:77">
      <c r="A683" s="57"/>
      <c r="B683" s="13"/>
      <c r="C683" s="13"/>
      <c r="D683" s="13"/>
      <c r="E683" s="14"/>
      <c r="F683" s="13"/>
      <c r="G683" s="13"/>
      <c r="H683" s="13"/>
      <c r="I683" s="13"/>
      <c r="J683" s="13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43"/>
      <c r="AY683" s="43"/>
      <c r="AZ683" s="43"/>
      <c r="BA683" s="43"/>
      <c r="BB683" s="43"/>
      <c r="BC683" s="43"/>
      <c r="BD683" s="43"/>
      <c r="BE683" s="43"/>
      <c r="BF683" s="43"/>
      <c r="BG683" s="43"/>
      <c r="BH683" s="43"/>
      <c r="BI683" s="13"/>
      <c r="BJ683" s="13"/>
      <c r="BK683" s="13"/>
      <c r="BL683" s="46"/>
      <c r="BM683" s="46"/>
      <c r="BN683" s="46"/>
      <c r="BO683" s="46"/>
      <c r="BP683" s="46"/>
      <c r="BQ683" s="46"/>
      <c r="BR683" s="34"/>
      <c r="BS683" s="34"/>
      <c r="BT683" s="34"/>
      <c r="BU683" s="34"/>
      <c r="BV683" s="34"/>
      <c r="BW683" s="34"/>
      <c r="BX683" s="34"/>
      <c r="BY683" s="4"/>
    </row>
    <row r="684" spans="1:77">
      <c r="A684" s="57"/>
      <c r="B684" s="13"/>
      <c r="C684" s="13"/>
      <c r="D684" s="13"/>
      <c r="E684" s="14"/>
      <c r="F684" s="13"/>
      <c r="G684" s="13"/>
      <c r="H684" s="13"/>
      <c r="I684" s="13"/>
      <c r="J684" s="13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43"/>
      <c r="AY684" s="43"/>
      <c r="AZ684" s="43"/>
      <c r="BA684" s="43"/>
      <c r="BB684" s="43"/>
      <c r="BC684" s="43"/>
      <c r="BD684" s="43"/>
      <c r="BE684" s="43"/>
      <c r="BF684" s="43"/>
      <c r="BG684" s="43"/>
      <c r="BH684" s="43"/>
      <c r="BI684" s="13"/>
      <c r="BJ684" s="13"/>
      <c r="BK684" s="13"/>
      <c r="BL684" s="46"/>
      <c r="BM684" s="46"/>
      <c r="BN684" s="46"/>
      <c r="BO684" s="46"/>
      <c r="BP684" s="46"/>
      <c r="BQ684" s="46"/>
      <c r="BR684" s="34"/>
      <c r="BS684" s="34"/>
      <c r="BT684" s="34"/>
      <c r="BU684" s="34"/>
      <c r="BV684" s="34"/>
      <c r="BW684" s="34"/>
      <c r="BX684" s="34"/>
      <c r="BY684" s="4"/>
    </row>
    <row r="685" spans="1:77">
      <c r="A685" s="57"/>
      <c r="B685" s="13"/>
      <c r="C685" s="13"/>
      <c r="D685" s="13"/>
      <c r="E685" s="14"/>
      <c r="F685" s="13"/>
      <c r="G685" s="13"/>
      <c r="H685" s="13"/>
      <c r="I685" s="13"/>
      <c r="J685" s="13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13"/>
      <c r="BJ685" s="13"/>
      <c r="BK685" s="13"/>
      <c r="BL685" s="46"/>
      <c r="BM685" s="46"/>
      <c r="BN685" s="46"/>
      <c r="BO685" s="46"/>
      <c r="BP685" s="46"/>
      <c r="BQ685" s="46"/>
      <c r="BR685" s="34"/>
      <c r="BS685" s="34"/>
      <c r="BT685" s="34"/>
      <c r="BU685" s="34"/>
      <c r="BV685" s="34"/>
      <c r="BW685" s="34"/>
      <c r="BX685" s="34"/>
      <c r="BY685" s="4"/>
    </row>
    <row r="686" spans="1:77">
      <c r="A686" s="57"/>
      <c r="B686" s="13"/>
      <c r="C686" s="13"/>
      <c r="D686" s="13"/>
      <c r="E686" s="14"/>
      <c r="F686" s="13"/>
      <c r="G686" s="13"/>
      <c r="H686" s="13"/>
      <c r="I686" s="13"/>
      <c r="J686" s="13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13"/>
      <c r="BJ686" s="13"/>
      <c r="BK686" s="13"/>
      <c r="BL686" s="46"/>
      <c r="BM686" s="46"/>
      <c r="BN686" s="46"/>
      <c r="BO686" s="46"/>
      <c r="BP686" s="46"/>
      <c r="BQ686" s="46"/>
      <c r="BR686" s="34"/>
      <c r="BS686" s="34"/>
      <c r="BT686" s="34"/>
      <c r="BU686" s="34"/>
      <c r="BV686" s="34"/>
      <c r="BW686" s="34"/>
      <c r="BX686" s="34"/>
      <c r="BY686" s="4"/>
    </row>
    <row r="687" spans="1:77">
      <c r="A687" s="57"/>
      <c r="B687" s="12"/>
      <c r="C687" s="13"/>
      <c r="D687" s="13"/>
      <c r="E687" s="14"/>
      <c r="F687" s="13"/>
      <c r="G687" s="13"/>
      <c r="H687" s="13"/>
      <c r="I687" s="13"/>
      <c r="J687" s="13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13"/>
      <c r="BJ687" s="13"/>
      <c r="BK687" s="13"/>
      <c r="BL687" s="46"/>
      <c r="BM687" s="46"/>
      <c r="BN687" s="46"/>
      <c r="BO687" s="46"/>
      <c r="BP687" s="46"/>
      <c r="BQ687" s="46"/>
      <c r="BR687" s="34"/>
      <c r="BS687" s="34"/>
      <c r="BT687" s="34"/>
      <c r="BU687" s="34"/>
      <c r="BV687" s="34"/>
      <c r="BW687" s="34"/>
      <c r="BX687" s="34"/>
      <c r="BY687" s="4"/>
    </row>
    <row r="688" spans="1:77">
      <c r="A688" s="57"/>
      <c r="B688" s="12"/>
      <c r="C688" s="13"/>
      <c r="D688" s="13"/>
      <c r="E688" s="14"/>
      <c r="F688" s="13"/>
      <c r="G688" s="13"/>
      <c r="H688" s="13"/>
      <c r="I688" s="13"/>
      <c r="J688" s="13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13"/>
      <c r="BJ688" s="13"/>
      <c r="BK688" s="13"/>
      <c r="BL688" s="46"/>
      <c r="BM688" s="46"/>
      <c r="BN688" s="46"/>
      <c r="BO688" s="46"/>
      <c r="BP688" s="46"/>
      <c r="BQ688" s="46"/>
      <c r="BR688" s="34"/>
      <c r="BS688" s="34"/>
      <c r="BT688" s="34"/>
      <c r="BU688" s="34"/>
      <c r="BV688" s="34"/>
      <c r="BW688" s="34"/>
      <c r="BX688" s="34"/>
      <c r="BY688" s="4"/>
    </row>
    <row r="689" spans="1:77">
      <c r="A689" s="57"/>
      <c r="B689" s="13"/>
      <c r="C689" s="13"/>
      <c r="D689" s="13"/>
      <c r="E689" s="14"/>
      <c r="F689" s="13"/>
      <c r="G689" s="13"/>
      <c r="H689" s="13"/>
      <c r="I689" s="13"/>
      <c r="J689" s="13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13"/>
      <c r="BJ689" s="13"/>
      <c r="BK689" s="13"/>
      <c r="BL689" s="46"/>
      <c r="BM689" s="46"/>
      <c r="BN689" s="46"/>
      <c r="BO689" s="46"/>
      <c r="BP689" s="46"/>
      <c r="BQ689" s="46"/>
      <c r="BR689" s="34"/>
      <c r="BS689" s="34"/>
      <c r="BT689" s="34"/>
      <c r="BU689" s="34"/>
      <c r="BV689" s="34"/>
      <c r="BW689" s="34"/>
      <c r="BX689" s="34"/>
      <c r="BY689" s="4"/>
    </row>
    <row r="690" spans="1:77">
      <c r="A690" s="57"/>
      <c r="B690" s="12"/>
      <c r="C690" s="13"/>
      <c r="D690" s="13"/>
      <c r="E690" s="14"/>
      <c r="F690" s="13"/>
      <c r="G690" s="13"/>
      <c r="H690" s="13"/>
      <c r="I690" s="13"/>
      <c r="J690" s="13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13"/>
      <c r="BJ690" s="13"/>
      <c r="BK690" s="13"/>
      <c r="BL690" s="46"/>
      <c r="BM690" s="46"/>
      <c r="BN690" s="46"/>
      <c r="BO690" s="46"/>
      <c r="BP690" s="46"/>
      <c r="BQ690" s="46"/>
      <c r="BR690" s="34"/>
      <c r="BS690" s="34"/>
      <c r="BT690" s="34"/>
      <c r="BU690" s="34"/>
      <c r="BV690" s="34"/>
      <c r="BW690" s="34"/>
      <c r="BX690" s="34"/>
      <c r="BY690" s="4"/>
    </row>
    <row r="691" spans="1:77">
      <c r="A691" s="57"/>
      <c r="B691" s="13"/>
      <c r="C691" s="13"/>
      <c r="D691" s="13"/>
      <c r="E691" s="14"/>
      <c r="F691" s="13"/>
      <c r="G691" s="13"/>
      <c r="H691" s="13"/>
      <c r="I691" s="13"/>
      <c r="J691" s="13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43"/>
      <c r="AY691" s="43"/>
      <c r="AZ691" s="43"/>
      <c r="BA691" s="43"/>
      <c r="BB691" s="43"/>
      <c r="BC691" s="43"/>
      <c r="BD691" s="43"/>
      <c r="BE691" s="43"/>
      <c r="BF691" s="43"/>
      <c r="BG691" s="43"/>
      <c r="BH691" s="43"/>
      <c r="BI691" s="13"/>
      <c r="BJ691" s="13"/>
      <c r="BK691" s="13"/>
      <c r="BL691" s="46"/>
      <c r="BM691" s="46"/>
      <c r="BN691" s="46"/>
      <c r="BO691" s="46"/>
      <c r="BP691" s="46"/>
      <c r="BQ691" s="46"/>
      <c r="BR691" s="34"/>
      <c r="BS691" s="34"/>
      <c r="BT691" s="34"/>
      <c r="BU691" s="34"/>
      <c r="BV691" s="34"/>
      <c r="BW691" s="34"/>
      <c r="BX691" s="34"/>
      <c r="BY691" s="4"/>
    </row>
    <row r="692" spans="1:77">
      <c r="A692" s="57"/>
      <c r="B692" s="13"/>
      <c r="C692" s="13"/>
      <c r="D692" s="13"/>
      <c r="E692" s="14"/>
      <c r="F692" s="13"/>
      <c r="G692" s="13"/>
      <c r="H692" s="13"/>
      <c r="I692" s="13"/>
      <c r="J692" s="13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43"/>
      <c r="AY692" s="43"/>
      <c r="AZ692" s="43"/>
      <c r="BA692" s="43"/>
      <c r="BB692" s="43"/>
      <c r="BC692" s="43"/>
      <c r="BD692" s="43"/>
      <c r="BE692" s="43"/>
      <c r="BF692" s="43"/>
      <c r="BG692" s="43"/>
      <c r="BH692" s="43"/>
      <c r="BI692" s="13"/>
      <c r="BJ692" s="13"/>
      <c r="BK692" s="13"/>
      <c r="BL692" s="46"/>
      <c r="BM692" s="46"/>
      <c r="BN692" s="46"/>
      <c r="BO692" s="46"/>
      <c r="BP692" s="46"/>
      <c r="BQ692" s="46"/>
      <c r="BR692" s="34"/>
      <c r="BS692" s="34"/>
      <c r="BT692" s="34"/>
      <c r="BU692" s="34"/>
      <c r="BV692" s="34"/>
      <c r="BW692" s="34"/>
      <c r="BX692" s="34"/>
      <c r="BY692" s="4"/>
    </row>
    <row r="693" spans="1:77">
      <c r="A693" s="57"/>
      <c r="B693" s="13"/>
      <c r="C693" s="13"/>
      <c r="D693" s="13"/>
      <c r="E693" s="14"/>
      <c r="F693" s="13"/>
      <c r="G693" s="13"/>
      <c r="H693" s="13"/>
      <c r="I693" s="13"/>
      <c r="J693" s="13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43"/>
      <c r="AY693" s="43"/>
      <c r="AZ693" s="43"/>
      <c r="BA693" s="43"/>
      <c r="BB693" s="43"/>
      <c r="BC693" s="43"/>
      <c r="BD693" s="43"/>
      <c r="BE693" s="43"/>
      <c r="BF693" s="43"/>
      <c r="BG693" s="43"/>
      <c r="BH693" s="43"/>
      <c r="BI693" s="13"/>
      <c r="BJ693" s="13"/>
      <c r="BK693" s="13"/>
      <c r="BL693" s="46"/>
      <c r="BM693" s="46"/>
      <c r="BN693" s="46"/>
      <c r="BO693" s="46"/>
      <c r="BP693" s="46"/>
      <c r="BQ693" s="46"/>
      <c r="BR693" s="34"/>
      <c r="BS693" s="34"/>
      <c r="BT693" s="34"/>
      <c r="BU693" s="34"/>
      <c r="BV693" s="34"/>
      <c r="BW693" s="34"/>
      <c r="BX693" s="34"/>
      <c r="BY693" s="4"/>
    </row>
    <row r="694" spans="1:77">
      <c r="A694" s="57"/>
      <c r="B694" s="13"/>
      <c r="C694" s="13"/>
      <c r="D694" s="13"/>
      <c r="E694" s="14"/>
      <c r="F694" s="13"/>
      <c r="G694" s="13"/>
      <c r="H694" s="13"/>
      <c r="I694" s="13"/>
      <c r="J694" s="13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43"/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13"/>
      <c r="BJ694" s="13"/>
      <c r="BK694" s="13"/>
      <c r="BL694" s="46"/>
      <c r="BM694" s="46"/>
      <c r="BN694" s="46"/>
      <c r="BO694" s="46"/>
      <c r="BP694" s="46"/>
      <c r="BQ694" s="46"/>
      <c r="BR694" s="34"/>
      <c r="BS694" s="34"/>
      <c r="BT694" s="34"/>
      <c r="BU694" s="34"/>
      <c r="BV694" s="34"/>
      <c r="BW694" s="34"/>
      <c r="BX694" s="34"/>
      <c r="BY694" s="4"/>
    </row>
    <row r="695" spans="1:77">
      <c r="A695" s="57"/>
      <c r="B695" s="13"/>
      <c r="C695" s="13"/>
      <c r="D695" s="13"/>
      <c r="E695" s="14"/>
      <c r="F695" s="13"/>
      <c r="G695" s="13"/>
      <c r="H695" s="13"/>
      <c r="I695" s="13"/>
      <c r="J695" s="13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43"/>
      <c r="AY695" s="43"/>
      <c r="AZ695" s="43"/>
      <c r="BA695" s="43"/>
      <c r="BB695" s="43"/>
      <c r="BC695" s="43"/>
      <c r="BD695" s="43"/>
      <c r="BE695" s="43"/>
      <c r="BF695" s="43"/>
      <c r="BG695" s="43"/>
      <c r="BH695" s="43"/>
      <c r="BI695" s="13"/>
      <c r="BJ695" s="13"/>
      <c r="BK695" s="13"/>
      <c r="BL695" s="46"/>
      <c r="BM695" s="46"/>
      <c r="BN695" s="46"/>
      <c r="BO695" s="46"/>
      <c r="BP695" s="46"/>
      <c r="BQ695" s="46"/>
      <c r="BR695" s="34"/>
      <c r="BS695" s="34"/>
      <c r="BT695" s="34"/>
      <c r="BU695" s="34"/>
      <c r="BV695" s="34"/>
      <c r="BW695" s="34"/>
      <c r="BX695" s="34"/>
      <c r="BY695" s="4"/>
    </row>
    <row r="696" spans="1:77">
      <c r="A696" s="57"/>
      <c r="B696" s="12"/>
      <c r="C696" s="13"/>
      <c r="D696" s="13"/>
      <c r="E696" s="14"/>
      <c r="F696" s="13"/>
      <c r="G696" s="13"/>
      <c r="H696" s="13"/>
      <c r="I696" s="13"/>
      <c r="J696" s="13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43"/>
      <c r="AY696" s="43"/>
      <c r="AZ696" s="43"/>
      <c r="BA696" s="43"/>
      <c r="BB696" s="43"/>
      <c r="BC696" s="43"/>
      <c r="BD696" s="43"/>
      <c r="BE696" s="43"/>
      <c r="BF696" s="43"/>
      <c r="BG696" s="43"/>
      <c r="BH696" s="43"/>
      <c r="BI696" s="13"/>
      <c r="BJ696" s="13"/>
      <c r="BK696" s="13"/>
      <c r="BL696" s="46"/>
      <c r="BM696" s="46"/>
      <c r="BN696" s="46"/>
      <c r="BO696" s="46"/>
      <c r="BP696" s="46"/>
      <c r="BQ696" s="46"/>
      <c r="BR696" s="34"/>
      <c r="BS696" s="34"/>
      <c r="BT696" s="34"/>
      <c r="BU696" s="34"/>
      <c r="BV696" s="34"/>
      <c r="BW696" s="34"/>
      <c r="BX696" s="34"/>
      <c r="BY696" s="4"/>
    </row>
    <row r="697" spans="1:77">
      <c r="A697" s="57"/>
      <c r="B697" s="12"/>
      <c r="C697" s="13"/>
      <c r="D697" s="13"/>
      <c r="E697" s="14"/>
      <c r="F697" s="13"/>
      <c r="G697" s="13"/>
      <c r="H697" s="13"/>
      <c r="I697" s="13"/>
      <c r="J697" s="13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43"/>
      <c r="AY697" s="43"/>
      <c r="AZ697" s="43"/>
      <c r="BA697" s="43"/>
      <c r="BB697" s="43"/>
      <c r="BC697" s="43"/>
      <c r="BD697" s="43"/>
      <c r="BE697" s="43"/>
      <c r="BF697" s="43"/>
      <c r="BG697" s="43"/>
      <c r="BH697" s="43"/>
      <c r="BI697" s="13"/>
      <c r="BJ697" s="13"/>
      <c r="BK697" s="13"/>
      <c r="BL697" s="46"/>
      <c r="BM697" s="46"/>
      <c r="BN697" s="46"/>
      <c r="BO697" s="46"/>
      <c r="BP697" s="46"/>
      <c r="BQ697" s="46"/>
      <c r="BR697" s="34"/>
      <c r="BS697" s="34"/>
      <c r="BT697" s="34"/>
      <c r="BU697" s="34"/>
      <c r="BV697" s="34"/>
      <c r="BW697" s="34"/>
      <c r="BX697" s="34"/>
      <c r="BY697" s="4"/>
    </row>
    <row r="698" spans="1:77">
      <c r="A698" s="57"/>
      <c r="B698" s="12"/>
      <c r="C698" s="13"/>
      <c r="D698" s="13"/>
      <c r="E698" s="14"/>
      <c r="F698" s="13"/>
      <c r="G698" s="13"/>
      <c r="H698" s="13"/>
      <c r="I698" s="13"/>
      <c r="J698" s="13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43"/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13"/>
      <c r="BJ698" s="13"/>
      <c r="BK698" s="13"/>
      <c r="BL698" s="46"/>
      <c r="BM698" s="46"/>
      <c r="BN698" s="46"/>
      <c r="BO698" s="46"/>
      <c r="BP698" s="46"/>
      <c r="BQ698" s="46"/>
      <c r="BR698" s="34"/>
      <c r="BS698" s="34"/>
      <c r="BT698" s="34"/>
      <c r="BU698" s="34"/>
      <c r="BV698" s="34"/>
      <c r="BW698" s="34"/>
      <c r="BX698" s="34"/>
      <c r="BY698" s="4"/>
    </row>
    <row r="699" spans="1:77">
      <c r="A699" s="57"/>
      <c r="B699" s="12"/>
      <c r="C699" s="13"/>
      <c r="D699" s="13"/>
      <c r="E699" s="14"/>
      <c r="F699" s="13"/>
      <c r="G699" s="13"/>
      <c r="H699" s="13"/>
      <c r="I699" s="13"/>
      <c r="J699" s="13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43"/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13"/>
      <c r="BJ699" s="13"/>
      <c r="BK699" s="13"/>
      <c r="BL699" s="46"/>
      <c r="BM699" s="46"/>
      <c r="BN699" s="46"/>
      <c r="BO699" s="46"/>
      <c r="BP699" s="46"/>
      <c r="BQ699" s="46"/>
      <c r="BR699" s="34"/>
      <c r="BS699" s="34"/>
      <c r="BT699" s="34"/>
      <c r="BU699" s="34"/>
      <c r="BV699" s="34"/>
      <c r="BW699" s="34"/>
      <c r="BX699" s="34"/>
      <c r="BY699" s="4"/>
    </row>
    <row r="700" spans="1:77">
      <c r="A700" s="57"/>
      <c r="B700" s="13"/>
      <c r="C700" s="13"/>
      <c r="D700" s="13"/>
      <c r="E700" s="14"/>
      <c r="F700" s="13"/>
      <c r="G700" s="13"/>
      <c r="H700" s="13"/>
      <c r="I700" s="13"/>
      <c r="J700" s="13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13"/>
      <c r="BJ700" s="13"/>
      <c r="BK700" s="13"/>
      <c r="BL700" s="46"/>
      <c r="BM700" s="46"/>
      <c r="BN700" s="46"/>
      <c r="BO700" s="46"/>
      <c r="BP700" s="46"/>
      <c r="BQ700" s="46"/>
      <c r="BR700" s="34"/>
      <c r="BS700" s="34"/>
      <c r="BT700" s="34"/>
      <c r="BU700" s="34"/>
      <c r="BV700" s="34"/>
      <c r="BW700" s="34"/>
      <c r="BX700" s="34"/>
      <c r="BY700" s="4"/>
    </row>
    <row r="701" spans="1:77">
      <c r="A701" s="57"/>
      <c r="B701" s="13"/>
      <c r="C701" s="13"/>
      <c r="D701" s="13"/>
      <c r="E701" s="14"/>
      <c r="F701" s="13"/>
      <c r="G701" s="13"/>
      <c r="H701" s="13"/>
      <c r="I701" s="13"/>
      <c r="J701" s="13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13"/>
      <c r="BJ701" s="13"/>
      <c r="BK701" s="13"/>
      <c r="BL701" s="46"/>
      <c r="BM701" s="46"/>
      <c r="BN701" s="46"/>
      <c r="BO701" s="46"/>
      <c r="BP701" s="46"/>
      <c r="BQ701" s="46"/>
      <c r="BR701" s="34"/>
      <c r="BS701" s="34"/>
      <c r="BT701" s="34"/>
      <c r="BU701" s="34"/>
      <c r="BV701" s="34"/>
      <c r="BW701" s="34"/>
      <c r="BX701" s="34"/>
      <c r="BY701" s="4"/>
    </row>
    <row r="702" spans="1:77">
      <c r="A702" s="57"/>
      <c r="B702" s="13"/>
      <c r="C702" s="13"/>
      <c r="D702" s="13"/>
      <c r="E702" s="14"/>
      <c r="F702" s="13"/>
      <c r="G702" s="13"/>
      <c r="H702" s="13"/>
      <c r="I702" s="13"/>
      <c r="J702" s="13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13"/>
      <c r="BJ702" s="13"/>
      <c r="BK702" s="13"/>
      <c r="BL702" s="46"/>
      <c r="BM702" s="46"/>
      <c r="BN702" s="46"/>
      <c r="BO702" s="46"/>
      <c r="BP702" s="46"/>
      <c r="BQ702" s="46"/>
      <c r="BR702" s="34"/>
      <c r="BS702" s="34"/>
      <c r="BT702" s="34"/>
      <c r="BU702" s="34"/>
      <c r="BV702" s="34"/>
      <c r="BW702" s="34"/>
      <c r="BX702" s="34"/>
      <c r="BY702" s="4"/>
    </row>
    <row r="703" spans="1:77">
      <c r="A703" s="57"/>
      <c r="B703" s="12"/>
      <c r="C703" s="13"/>
      <c r="D703" s="13"/>
      <c r="E703" s="14"/>
      <c r="F703" s="13"/>
      <c r="G703" s="13"/>
      <c r="H703" s="13"/>
      <c r="I703" s="13"/>
      <c r="J703" s="13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13"/>
      <c r="BJ703" s="13"/>
      <c r="BK703" s="13"/>
      <c r="BL703" s="46"/>
      <c r="BM703" s="46"/>
      <c r="BN703" s="46"/>
      <c r="BO703" s="46"/>
      <c r="BP703" s="46"/>
      <c r="BQ703" s="46"/>
      <c r="BR703" s="34"/>
      <c r="BS703" s="34"/>
      <c r="BT703" s="34"/>
      <c r="BU703" s="34"/>
      <c r="BV703" s="34"/>
      <c r="BW703" s="34"/>
      <c r="BX703" s="34"/>
      <c r="BY703" s="4"/>
    </row>
    <row r="704" spans="1:77">
      <c r="A704" s="57"/>
      <c r="B704" s="13"/>
      <c r="C704" s="13"/>
      <c r="D704" s="13"/>
      <c r="E704" s="14"/>
      <c r="F704" s="13"/>
      <c r="G704" s="13"/>
      <c r="H704" s="13"/>
      <c r="I704" s="13"/>
      <c r="J704" s="13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13"/>
      <c r="BJ704" s="13"/>
      <c r="BK704" s="13"/>
      <c r="BL704" s="46"/>
      <c r="BM704" s="46"/>
      <c r="BN704" s="46"/>
      <c r="BO704" s="46"/>
      <c r="BP704" s="46"/>
      <c r="BQ704" s="46"/>
      <c r="BR704" s="34"/>
      <c r="BS704" s="34"/>
      <c r="BT704" s="34"/>
      <c r="BU704" s="34"/>
      <c r="BV704" s="34"/>
      <c r="BW704" s="34"/>
      <c r="BX704" s="34"/>
      <c r="BY704" s="4"/>
    </row>
    <row r="705" spans="1:77">
      <c r="A705" s="57"/>
      <c r="B705" s="12"/>
      <c r="C705" s="13"/>
      <c r="D705" s="13"/>
      <c r="E705" s="14"/>
      <c r="F705" s="13"/>
      <c r="G705" s="13"/>
      <c r="H705" s="13"/>
      <c r="I705" s="13"/>
      <c r="J705" s="13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13"/>
      <c r="BJ705" s="13"/>
      <c r="BK705" s="13"/>
      <c r="BL705" s="46"/>
      <c r="BM705" s="46"/>
      <c r="BN705" s="46"/>
      <c r="BO705" s="46"/>
      <c r="BP705" s="46"/>
      <c r="BQ705" s="46"/>
      <c r="BR705" s="34"/>
      <c r="BS705" s="34"/>
      <c r="BT705" s="34"/>
      <c r="BU705" s="34"/>
      <c r="BV705" s="34"/>
      <c r="BW705" s="34"/>
      <c r="BX705" s="34"/>
      <c r="BY705" s="4"/>
    </row>
    <row r="706" spans="1:77">
      <c r="A706" s="57"/>
      <c r="B706" s="12"/>
      <c r="C706" s="13"/>
      <c r="D706" s="13"/>
      <c r="E706" s="14"/>
      <c r="F706" s="13"/>
      <c r="G706" s="13"/>
      <c r="H706" s="13"/>
      <c r="I706" s="13"/>
      <c r="J706" s="13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43"/>
      <c r="AY706" s="43"/>
      <c r="AZ706" s="43"/>
      <c r="BA706" s="43"/>
      <c r="BB706" s="43"/>
      <c r="BC706" s="43"/>
      <c r="BD706" s="43"/>
      <c r="BE706" s="43"/>
      <c r="BF706" s="43"/>
      <c r="BG706" s="43"/>
      <c r="BH706" s="43"/>
      <c r="BI706" s="13"/>
      <c r="BJ706" s="13"/>
      <c r="BK706" s="13"/>
      <c r="BL706" s="46"/>
      <c r="BM706" s="46"/>
      <c r="BN706" s="46"/>
      <c r="BO706" s="46"/>
      <c r="BP706" s="46"/>
      <c r="BQ706" s="46"/>
      <c r="BR706" s="34"/>
      <c r="BS706" s="34"/>
      <c r="BT706" s="34"/>
      <c r="BU706" s="34"/>
      <c r="BV706" s="34"/>
      <c r="BW706" s="34"/>
      <c r="BX706" s="34"/>
      <c r="BY706" s="4"/>
    </row>
    <row r="707" spans="1:77">
      <c r="A707" s="57"/>
      <c r="B707" s="13"/>
      <c r="C707" s="13"/>
      <c r="D707" s="13"/>
      <c r="E707" s="14"/>
      <c r="F707" s="13"/>
      <c r="G707" s="13"/>
      <c r="H707" s="13"/>
      <c r="I707" s="13"/>
      <c r="J707" s="13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43"/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13"/>
      <c r="BJ707" s="13"/>
      <c r="BK707" s="13"/>
      <c r="BL707" s="46"/>
      <c r="BM707" s="46"/>
      <c r="BN707" s="46"/>
      <c r="BO707" s="46"/>
      <c r="BP707" s="46"/>
      <c r="BQ707" s="46"/>
      <c r="BR707" s="34"/>
      <c r="BS707" s="34"/>
      <c r="BT707" s="34"/>
      <c r="BU707" s="34"/>
      <c r="BV707" s="34"/>
      <c r="BW707" s="34"/>
      <c r="BX707" s="34"/>
      <c r="BY707" s="4"/>
    </row>
    <row r="708" spans="1:77">
      <c r="A708" s="57"/>
      <c r="B708" s="13"/>
      <c r="C708" s="13"/>
      <c r="D708" s="13"/>
      <c r="E708" s="14"/>
      <c r="F708" s="13"/>
      <c r="G708" s="13"/>
      <c r="H708" s="13"/>
      <c r="I708" s="13"/>
      <c r="J708" s="13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43"/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13"/>
      <c r="BJ708" s="13"/>
      <c r="BK708" s="13"/>
      <c r="BL708" s="46"/>
      <c r="BM708" s="46"/>
      <c r="BN708" s="46"/>
      <c r="BO708" s="46"/>
      <c r="BP708" s="46"/>
      <c r="BQ708" s="46"/>
      <c r="BR708" s="34"/>
      <c r="BS708" s="34"/>
      <c r="BT708" s="34"/>
      <c r="BU708" s="34"/>
      <c r="BV708" s="34"/>
      <c r="BW708" s="34"/>
      <c r="BX708" s="34"/>
      <c r="BY708" s="4"/>
    </row>
    <row r="709" spans="1:77">
      <c r="A709" s="57"/>
      <c r="B709" s="13"/>
      <c r="C709" s="13"/>
      <c r="D709" s="13"/>
      <c r="E709" s="14"/>
      <c r="F709" s="13"/>
      <c r="G709" s="13"/>
      <c r="H709" s="13"/>
      <c r="I709" s="13"/>
      <c r="J709" s="13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43"/>
      <c r="AY709" s="43"/>
      <c r="AZ709" s="43"/>
      <c r="BA709" s="43"/>
      <c r="BB709" s="43"/>
      <c r="BC709" s="43"/>
      <c r="BD709" s="43"/>
      <c r="BE709" s="43"/>
      <c r="BF709" s="43"/>
      <c r="BG709" s="43"/>
      <c r="BH709" s="43"/>
      <c r="BI709" s="13"/>
      <c r="BJ709" s="13"/>
      <c r="BK709" s="13"/>
      <c r="BL709" s="46"/>
      <c r="BM709" s="46"/>
      <c r="BN709" s="46"/>
      <c r="BO709" s="46"/>
      <c r="BP709" s="46"/>
      <c r="BQ709" s="46"/>
      <c r="BR709" s="34"/>
      <c r="BS709" s="34"/>
      <c r="BT709" s="34"/>
      <c r="BU709" s="34"/>
      <c r="BV709" s="34"/>
      <c r="BW709" s="34"/>
      <c r="BX709" s="34"/>
      <c r="BY709" s="4"/>
    </row>
    <row r="710" spans="1:77">
      <c r="A710" s="57"/>
      <c r="B710" s="12"/>
      <c r="C710" s="13"/>
      <c r="D710" s="13"/>
      <c r="E710" s="14"/>
      <c r="F710" s="13"/>
      <c r="G710" s="13"/>
      <c r="H710" s="13"/>
      <c r="I710" s="13"/>
      <c r="J710" s="13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43"/>
      <c r="AY710" s="43"/>
      <c r="AZ710" s="43"/>
      <c r="BA710" s="43"/>
      <c r="BB710" s="43"/>
      <c r="BC710" s="43"/>
      <c r="BD710" s="43"/>
      <c r="BE710" s="43"/>
      <c r="BF710" s="43"/>
      <c r="BG710" s="43"/>
      <c r="BH710" s="43"/>
      <c r="BI710" s="13"/>
      <c r="BJ710" s="13"/>
      <c r="BK710" s="13"/>
      <c r="BL710" s="46"/>
      <c r="BM710" s="46"/>
      <c r="BN710" s="46"/>
      <c r="BO710" s="46"/>
      <c r="BP710" s="46"/>
      <c r="BQ710" s="46"/>
      <c r="BR710" s="34"/>
      <c r="BS710" s="34"/>
      <c r="BT710" s="34"/>
      <c r="BU710" s="34"/>
      <c r="BV710" s="34"/>
      <c r="BW710" s="34"/>
      <c r="BX710" s="34"/>
      <c r="BY710" s="4"/>
    </row>
    <row r="711" spans="1:77">
      <c r="A711" s="57"/>
      <c r="B711" s="12"/>
      <c r="C711" s="13"/>
      <c r="D711" s="13"/>
      <c r="E711" s="14"/>
      <c r="F711" s="13"/>
      <c r="G711" s="13"/>
      <c r="H711" s="13"/>
      <c r="I711" s="13"/>
      <c r="J711" s="13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43"/>
      <c r="AY711" s="43"/>
      <c r="AZ711" s="43"/>
      <c r="BA711" s="43"/>
      <c r="BB711" s="43"/>
      <c r="BC711" s="43"/>
      <c r="BD711" s="43"/>
      <c r="BE711" s="43"/>
      <c r="BF711" s="43"/>
      <c r="BG711" s="43"/>
      <c r="BH711" s="43"/>
      <c r="BI711" s="13"/>
      <c r="BJ711" s="13"/>
      <c r="BK711" s="13"/>
      <c r="BL711" s="46"/>
      <c r="BM711" s="46"/>
      <c r="BN711" s="46"/>
      <c r="BO711" s="46"/>
      <c r="BP711" s="46"/>
      <c r="BQ711" s="46"/>
      <c r="BR711" s="34"/>
      <c r="BS711" s="34"/>
      <c r="BT711" s="34"/>
      <c r="BU711" s="34"/>
      <c r="BV711" s="34"/>
      <c r="BW711" s="34"/>
      <c r="BX711" s="34"/>
      <c r="BY711" s="4"/>
    </row>
    <row r="712" spans="1:77">
      <c r="A712" s="1" t="s">
        <v>76</v>
      </c>
      <c r="B712" s="13"/>
      <c r="C712" s="13"/>
      <c r="D712" s="13"/>
      <c r="E712" s="14">
        <f>SUM(E648:E711)</f>
        <v>0</v>
      </c>
      <c r="F712" s="13"/>
      <c r="G712" s="13">
        <f t="shared" ref="G712:N712" si="27">SUM(G648:G711)</f>
        <v>0</v>
      </c>
      <c r="H712" s="13">
        <f t="shared" si="27"/>
        <v>0</v>
      </c>
      <c r="I712" s="13">
        <f t="shared" si="27"/>
        <v>0</v>
      </c>
      <c r="J712" s="13">
        <f t="shared" si="27"/>
        <v>0</v>
      </c>
      <c r="K712" s="34">
        <f t="shared" si="27"/>
        <v>0</v>
      </c>
      <c r="L712" s="34">
        <f t="shared" si="27"/>
        <v>0</v>
      </c>
      <c r="M712" s="34">
        <f t="shared" si="27"/>
        <v>0</v>
      </c>
      <c r="N712" s="34">
        <f t="shared" si="27"/>
        <v>0</v>
      </c>
      <c r="O712" s="34"/>
      <c r="P712" s="34">
        <f t="shared" ref="P712:U712" si="28">SUM(P648:P711)</f>
        <v>0</v>
      </c>
      <c r="Q712" s="34">
        <f t="shared" si="28"/>
        <v>0</v>
      </c>
      <c r="R712" s="34">
        <f t="shared" si="28"/>
        <v>0</v>
      </c>
      <c r="S712" s="34">
        <f t="shared" si="28"/>
        <v>0</v>
      </c>
      <c r="T712" s="34">
        <f t="shared" si="28"/>
        <v>0</v>
      </c>
      <c r="U712" s="34">
        <f t="shared" si="28"/>
        <v>0</v>
      </c>
      <c r="V712" s="34"/>
      <c r="W712" s="34">
        <f t="shared" ref="W712:BB712" si="29">SUM(W648:W711)</f>
        <v>0</v>
      </c>
      <c r="X712" s="3">
        <f t="shared" si="29"/>
        <v>0</v>
      </c>
      <c r="Y712" s="39">
        <f t="shared" si="29"/>
        <v>0</v>
      </c>
      <c r="Z712" s="39">
        <f t="shared" si="29"/>
        <v>0</v>
      </c>
      <c r="AA712" s="39">
        <f t="shared" si="29"/>
        <v>0</v>
      </c>
      <c r="AB712" s="39">
        <f t="shared" si="29"/>
        <v>0</v>
      </c>
      <c r="AC712" s="39">
        <f t="shared" si="29"/>
        <v>0</v>
      </c>
      <c r="AD712" s="39">
        <f t="shared" si="29"/>
        <v>0</v>
      </c>
      <c r="AE712" s="39">
        <f t="shared" si="29"/>
        <v>0</v>
      </c>
      <c r="AF712" s="39">
        <f t="shared" si="29"/>
        <v>0</v>
      </c>
      <c r="AG712" s="39">
        <f t="shared" si="29"/>
        <v>0</v>
      </c>
      <c r="AH712" s="39">
        <f t="shared" si="29"/>
        <v>0</v>
      </c>
      <c r="AI712" s="39">
        <f t="shared" si="29"/>
        <v>0</v>
      </c>
      <c r="AJ712" s="39">
        <f t="shared" si="29"/>
        <v>0</v>
      </c>
      <c r="AK712" s="39">
        <f t="shared" si="29"/>
        <v>0</v>
      </c>
      <c r="AL712" s="39">
        <f t="shared" si="29"/>
        <v>0</v>
      </c>
      <c r="AM712" s="28">
        <f t="shared" si="29"/>
        <v>0</v>
      </c>
      <c r="AN712" s="28">
        <f t="shared" si="29"/>
        <v>0</v>
      </c>
      <c r="AO712" s="28">
        <f t="shared" si="29"/>
        <v>0</v>
      </c>
      <c r="AP712" s="28">
        <f t="shared" si="29"/>
        <v>0</v>
      </c>
      <c r="AQ712" s="28">
        <f t="shared" si="29"/>
        <v>0</v>
      </c>
      <c r="AR712" s="28">
        <f t="shared" si="29"/>
        <v>0</v>
      </c>
      <c r="AS712" s="28">
        <f t="shared" si="29"/>
        <v>0</v>
      </c>
      <c r="AT712" s="28">
        <f t="shared" si="29"/>
        <v>0</v>
      </c>
      <c r="AU712" s="28">
        <f t="shared" si="29"/>
        <v>0</v>
      </c>
      <c r="AV712" s="28">
        <f t="shared" si="29"/>
        <v>0</v>
      </c>
      <c r="AW712" s="28">
        <f t="shared" si="29"/>
        <v>0</v>
      </c>
      <c r="AX712" s="43">
        <f t="shared" si="29"/>
        <v>0</v>
      </c>
      <c r="AY712" s="43">
        <f t="shared" si="29"/>
        <v>0</v>
      </c>
      <c r="AZ712" s="43">
        <f t="shared" si="29"/>
        <v>0</v>
      </c>
      <c r="BA712" s="43">
        <f t="shared" si="29"/>
        <v>0</v>
      </c>
      <c r="BB712" s="43">
        <f t="shared" si="29"/>
        <v>0</v>
      </c>
      <c r="BC712" s="43">
        <f t="shared" ref="BC712:BW712" si="30">SUM(BC648:BC711)</f>
        <v>0</v>
      </c>
      <c r="BD712" s="43">
        <f t="shared" si="30"/>
        <v>0</v>
      </c>
      <c r="BE712" s="43">
        <f t="shared" si="30"/>
        <v>0</v>
      </c>
      <c r="BF712" s="43">
        <f t="shared" si="30"/>
        <v>0</v>
      </c>
      <c r="BG712" s="43">
        <f t="shared" si="30"/>
        <v>0</v>
      </c>
      <c r="BH712" s="43">
        <f t="shared" si="30"/>
        <v>0</v>
      </c>
      <c r="BI712" s="13">
        <f t="shared" si="30"/>
        <v>0</v>
      </c>
      <c r="BJ712" s="13">
        <f t="shared" si="30"/>
        <v>0</v>
      </c>
      <c r="BK712" s="13">
        <f t="shared" si="30"/>
        <v>0</v>
      </c>
      <c r="BL712" s="46">
        <f t="shared" si="30"/>
        <v>0</v>
      </c>
      <c r="BM712" s="46">
        <f t="shared" si="30"/>
        <v>0</v>
      </c>
      <c r="BN712" s="46">
        <f t="shared" si="30"/>
        <v>0</v>
      </c>
      <c r="BO712" s="46">
        <f t="shared" si="30"/>
        <v>0</v>
      </c>
      <c r="BP712" s="46">
        <f t="shared" si="30"/>
        <v>0</v>
      </c>
      <c r="BQ712" s="46">
        <f t="shared" si="30"/>
        <v>0</v>
      </c>
      <c r="BR712" s="34">
        <f t="shared" si="30"/>
        <v>0</v>
      </c>
      <c r="BS712" s="34">
        <f t="shared" si="30"/>
        <v>0</v>
      </c>
      <c r="BT712" s="34">
        <f t="shared" si="30"/>
        <v>0</v>
      </c>
      <c r="BU712" s="34">
        <f t="shared" si="30"/>
        <v>0</v>
      </c>
      <c r="BV712" s="34">
        <f t="shared" si="30"/>
        <v>0</v>
      </c>
      <c r="BW712" s="34">
        <f t="shared" si="30"/>
        <v>0</v>
      </c>
      <c r="BX712" s="34"/>
      <c r="BY712" s="4"/>
    </row>
    <row r="713" spans="1:77">
      <c r="B713" s="18"/>
      <c r="C713" s="18"/>
      <c r="D713" s="18"/>
      <c r="E713" s="18"/>
      <c r="F713" s="18"/>
      <c r="G713" s="18"/>
      <c r="H713" s="18"/>
      <c r="I713" s="18"/>
      <c r="J713" s="18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18"/>
      <c r="BJ713" s="18"/>
      <c r="BK713" s="18"/>
      <c r="BL713" s="47"/>
      <c r="BM713" s="47"/>
      <c r="BN713" s="47"/>
      <c r="BO713" s="47"/>
      <c r="BP713" s="47"/>
      <c r="BQ713" s="47"/>
      <c r="BR713" s="35"/>
      <c r="BS713" s="35"/>
      <c r="BT713" s="35"/>
      <c r="BU713" s="35"/>
      <c r="BV713" s="35"/>
      <c r="BW713" s="35"/>
      <c r="BX713" s="35"/>
    </row>
    <row r="714" spans="1:77" ht="159.6">
      <c r="A714" s="2" t="s">
        <v>77</v>
      </c>
      <c r="B714" s="11" t="s">
        <v>1</v>
      </c>
      <c r="C714" s="11" t="s">
        <v>2</v>
      </c>
      <c r="D714" s="11" t="s">
        <v>3</v>
      </c>
      <c r="E714" s="11" t="s">
        <v>4</v>
      </c>
      <c r="F714" s="11" t="s">
        <v>5</v>
      </c>
      <c r="G714" s="11" t="s">
        <v>6</v>
      </c>
      <c r="H714" s="11" t="s">
        <v>7</v>
      </c>
      <c r="I714" s="11" t="s">
        <v>8</v>
      </c>
      <c r="J714" s="11" t="s">
        <v>9</v>
      </c>
      <c r="K714" s="33" t="s">
        <v>10</v>
      </c>
      <c r="L714" s="33" t="s">
        <v>11</v>
      </c>
      <c r="M714" s="33" t="s">
        <v>12</v>
      </c>
      <c r="N714" s="33" t="s">
        <v>13</v>
      </c>
      <c r="O714" s="33" t="s">
        <v>14</v>
      </c>
      <c r="P714" s="33" t="s">
        <v>15</v>
      </c>
      <c r="Q714" s="33" t="s">
        <v>16</v>
      </c>
      <c r="R714" s="33" t="s">
        <v>17</v>
      </c>
      <c r="S714" s="33" t="s">
        <v>18</v>
      </c>
      <c r="T714" s="33" t="s">
        <v>79</v>
      </c>
      <c r="U714" s="33" t="s">
        <v>20</v>
      </c>
      <c r="V714" s="33" t="s">
        <v>21</v>
      </c>
      <c r="W714" s="33" t="s">
        <v>104</v>
      </c>
      <c r="X714" s="9" t="s">
        <v>80</v>
      </c>
      <c r="Y714" s="38" t="s">
        <v>24</v>
      </c>
      <c r="Z714" s="38" t="s">
        <v>25</v>
      </c>
      <c r="AA714" s="38" t="s">
        <v>26</v>
      </c>
      <c r="AB714" s="38" t="s">
        <v>105</v>
      </c>
      <c r="AC714" s="38" t="s">
        <v>28</v>
      </c>
      <c r="AD714" s="38" t="s">
        <v>29</v>
      </c>
      <c r="AE714" s="38" t="s">
        <v>30</v>
      </c>
      <c r="AF714" s="38" t="s">
        <v>31</v>
      </c>
      <c r="AG714" s="38" t="s">
        <v>32</v>
      </c>
      <c r="AH714" s="38" t="s">
        <v>33</v>
      </c>
      <c r="AI714" s="38" t="s">
        <v>34</v>
      </c>
      <c r="AJ714" s="38" t="s">
        <v>35</v>
      </c>
      <c r="AK714" s="38" t="s">
        <v>36</v>
      </c>
      <c r="AL714" s="38" t="s">
        <v>37</v>
      </c>
      <c r="AM714" s="27" t="s">
        <v>38</v>
      </c>
      <c r="AN714" s="27" t="s">
        <v>39</v>
      </c>
      <c r="AO714" s="27" t="s">
        <v>40</v>
      </c>
      <c r="AP714" s="27" t="s">
        <v>41</v>
      </c>
      <c r="AQ714" s="27" t="s">
        <v>42</v>
      </c>
      <c r="AR714" s="27" t="s">
        <v>43</v>
      </c>
      <c r="AS714" s="27" t="s">
        <v>44</v>
      </c>
      <c r="AT714" s="27" t="s">
        <v>45</v>
      </c>
      <c r="AU714" s="27" t="s">
        <v>46</v>
      </c>
      <c r="AV714" s="27" t="s">
        <v>47</v>
      </c>
      <c r="AW714" s="27" t="s">
        <v>37</v>
      </c>
      <c r="AX714" s="42" t="s">
        <v>48</v>
      </c>
      <c r="AY714" s="42" t="s">
        <v>49</v>
      </c>
      <c r="AZ714" s="42" t="s">
        <v>50</v>
      </c>
      <c r="BA714" s="42" t="s">
        <v>51</v>
      </c>
      <c r="BB714" s="42" t="s">
        <v>52</v>
      </c>
      <c r="BC714" s="42" t="s">
        <v>53</v>
      </c>
      <c r="BD714" s="42" t="s">
        <v>54</v>
      </c>
      <c r="BE714" s="42" t="s">
        <v>55</v>
      </c>
      <c r="BF714" s="42" t="s">
        <v>56</v>
      </c>
      <c r="BG714" s="42" t="s">
        <v>57</v>
      </c>
      <c r="BH714" s="42" t="s">
        <v>58</v>
      </c>
      <c r="BI714" s="11" t="s">
        <v>28</v>
      </c>
      <c r="BJ714" s="11" t="s">
        <v>59</v>
      </c>
      <c r="BK714" s="11" t="s">
        <v>60</v>
      </c>
      <c r="BL714" s="32" t="s">
        <v>61</v>
      </c>
      <c r="BM714" s="32" t="s">
        <v>62</v>
      </c>
      <c r="BN714" s="32" t="s">
        <v>63</v>
      </c>
      <c r="BO714" s="32" t="s">
        <v>64</v>
      </c>
      <c r="BP714" s="32" t="s">
        <v>65</v>
      </c>
      <c r="BQ714" s="32" t="s">
        <v>66</v>
      </c>
      <c r="BR714" s="33" t="s">
        <v>67</v>
      </c>
      <c r="BS714" s="33" t="s">
        <v>68</v>
      </c>
      <c r="BT714" s="33" t="s">
        <v>69</v>
      </c>
      <c r="BU714" s="33" t="s">
        <v>70</v>
      </c>
      <c r="BV714" s="33" t="s">
        <v>71</v>
      </c>
      <c r="BW714" s="33" t="s">
        <v>82</v>
      </c>
      <c r="BX714" s="33" t="s">
        <v>73</v>
      </c>
      <c r="BY714" s="10" t="s">
        <v>74</v>
      </c>
    </row>
    <row r="715" spans="1:77">
      <c r="A715" s="57" t="s">
        <v>106</v>
      </c>
      <c r="B715" s="12"/>
      <c r="C715" s="13"/>
      <c r="D715" s="13"/>
      <c r="E715" s="14"/>
      <c r="F715" s="13"/>
      <c r="G715" s="13"/>
      <c r="H715" s="13"/>
      <c r="I715" s="13"/>
      <c r="J715" s="13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13"/>
      <c r="BJ715" s="13"/>
      <c r="BK715" s="13"/>
      <c r="BL715" s="46"/>
      <c r="BM715" s="46"/>
      <c r="BN715" s="46"/>
      <c r="BO715" s="46"/>
      <c r="BP715" s="46"/>
      <c r="BQ715" s="46"/>
      <c r="BR715" s="34"/>
      <c r="BS715" s="34"/>
      <c r="BT715" s="34"/>
      <c r="BU715" s="34"/>
      <c r="BV715" s="34"/>
      <c r="BW715" s="34"/>
      <c r="BX715" s="34"/>
      <c r="BY715" s="4"/>
    </row>
    <row r="716" spans="1:77">
      <c r="A716" s="57"/>
      <c r="B716" s="13"/>
      <c r="C716" s="13"/>
      <c r="D716" s="13"/>
      <c r="E716" s="14"/>
      <c r="F716" s="13"/>
      <c r="G716" s="13"/>
      <c r="H716" s="13"/>
      <c r="I716" s="13"/>
      <c r="J716" s="13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13"/>
      <c r="BJ716" s="13"/>
      <c r="BK716" s="13"/>
      <c r="BL716" s="46"/>
      <c r="BM716" s="46"/>
      <c r="BN716" s="46"/>
      <c r="BO716" s="46"/>
      <c r="BP716" s="46"/>
      <c r="BQ716" s="46"/>
      <c r="BR716" s="34"/>
      <c r="BS716" s="34"/>
      <c r="BT716" s="34"/>
      <c r="BU716" s="34"/>
      <c r="BV716" s="34"/>
      <c r="BW716" s="34"/>
      <c r="BX716" s="34"/>
      <c r="BY716" s="4"/>
    </row>
    <row r="717" spans="1:77">
      <c r="A717" s="57"/>
      <c r="B717" s="13"/>
      <c r="C717" s="13"/>
      <c r="D717" s="13"/>
      <c r="E717" s="14"/>
      <c r="F717" s="13"/>
      <c r="G717" s="13"/>
      <c r="H717" s="13"/>
      <c r="I717" s="13"/>
      <c r="J717" s="13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13"/>
      <c r="BJ717" s="13"/>
      <c r="BK717" s="13"/>
      <c r="BL717" s="46"/>
      <c r="BM717" s="46"/>
      <c r="BN717" s="46"/>
      <c r="BO717" s="46"/>
      <c r="BP717" s="46"/>
      <c r="BQ717" s="46"/>
      <c r="BR717" s="34"/>
      <c r="BS717" s="34"/>
      <c r="BT717" s="34"/>
      <c r="BU717" s="34"/>
      <c r="BV717" s="34"/>
      <c r="BW717" s="34"/>
      <c r="BX717" s="34"/>
      <c r="BY717" s="4"/>
    </row>
    <row r="718" spans="1:77">
      <c r="A718" s="57"/>
      <c r="B718" s="12"/>
      <c r="C718" s="13"/>
      <c r="D718" s="13"/>
      <c r="E718" s="14"/>
      <c r="F718" s="13"/>
      <c r="G718" s="13"/>
      <c r="H718" s="13"/>
      <c r="I718" s="13"/>
      <c r="J718" s="13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13"/>
      <c r="BJ718" s="13"/>
      <c r="BK718" s="13"/>
      <c r="BL718" s="46"/>
      <c r="BM718" s="46"/>
      <c r="BN718" s="46"/>
      <c r="BO718" s="46"/>
      <c r="BP718" s="46"/>
      <c r="BQ718" s="46"/>
      <c r="BR718" s="34"/>
      <c r="BS718" s="34"/>
      <c r="BT718" s="34"/>
      <c r="BU718" s="34"/>
      <c r="BV718" s="34"/>
      <c r="BW718" s="34"/>
      <c r="BX718" s="34"/>
      <c r="BY718" s="4"/>
    </row>
    <row r="719" spans="1:77">
      <c r="A719" s="57"/>
      <c r="B719" s="12"/>
      <c r="C719" s="13"/>
      <c r="D719" s="13"/>
      <c r="E719" s="14"/>
      <c r="F719" s="13"/>
      <c r="G719" s="13"/>
      <c r="H719" s="13"/>
      <c r="I719" s="13"/>
      <c r="J719" s="13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13"/>
      <c r="BJ719" s="13"/>
      <c r="BK719" s="13"/>
      <c r="BL719" s="46"/>
      <c r="BM719" s="46"/>
      <c r="BN719" s="46"/>
      <c r="BO719" s="46"/>
      <c r="BP719" s="46"/>
      <c r="BQ719" s="46"/>
      <c r="BR719" s="34"/>
      <c r="BS719" s="34"/>
      <c r="BT719" s="34"/>
      <c r="BU719" s="34"/>
      <c r="BV719" s="34"/>
      <c r="BW719" s="34"/>
      <c r="BX719" s="34"/>
      <c r="BY719" s="4"/>
    </row>
    <row r="720" spans="1:77">
      <c r="A720" s="57"/>
      <c r="B720" s="12"/>
      <c r="C720" s="13"/>
      <c r="D720" s="13"/>
      <c r="E720" s="14"/>
      <c r="F720" s="13"/>
      <c r="G720" s="13"/>
      <c r="H720" s="13"/>
      <c r="I720" s="13"/>
      <c r="J720" s="13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13"/>
      <c r="BJ720" s="13"/>
      <c r="BK720" s="13"/>
      <c r="BL720" s="46"/>
      <c r="BM720" s="46"/>
      <c r="BN720" s="46"/>
      <c r="BO720" s="46"/>
      <c r="BP720" s="46"/>
      <c r="BQ720" s="46"/>
      <c r="BR720" s="34"/>
      <c r="BS720" s="34"/>
      <c r="BT720" s="34"/>
      <c r="BU720" s="34"/>
      <c r="BV720" s="34"/>
      <c r="BW720" s="34"/>
      <c r="BX720" s="34"/>
      <c r="BY720" s="4"/>
    </row>
    <row r="721" spans="1:77">
      <c r="A721" s="57"/>
      <c r="B721" s="12"/>
      <c r="C721" s="13"/>
      <c r="D721" s="13"/>
      <c r="E721" s="14"/>
      <c r="F721" s="13"/>
      <c r="G721" s="13"/>
      <c r="H721" s="13"/>
      <c r="I721" s="13"/>
      <c r="J721" s="13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43"/>
      <c r="AY721" s="43"/>
      <c r="AZ721" s="43"/>
      <c r="BA721" s="43"/>
      <c r="BB721" s="43"/>
      <c r="BC721" s="43"/>
      <c r="BD721" s="43"/>
      <c r="BE721" s="43"/>
      <c r="BF721" s="43"/>
      <c r="BG721" s="43"/>
      <c r="BH721" s="43"/>
      <c r="BI721" s="13"/>
      <c r="BJ721" s="13"/>
      <c r="BK721" s="13"/>
      <c r="BL721" s="46"/>
      <c r="BM721" s="46"/>
      <c r="BN721" s="46"/>
      <c r="BO721" s="46"/>
      <c r="BP721" s="46"/>
      <c r="BQ721" s="46"/>
      <c r="BR721" s="34"/>
      <c r="BS721" s="34"/>
      <c r="BT721" s="34"/>
      <c r="BU721" s="34"/>
      <c r="BV721" s="34"/>
      <c r="BW721" s="34"/>
      <c r="BX721" s="34"/>
      <c r="BY721" s="4"/>
    </row>
    <row r="722" spans="1:77">
      <c r="A722" s="57"/>
      <c r="B722" s="12"/>
      <c r="C722" s="13"/>
      <c r="D722" s="13"/>
      <c r="E722" s="14"/>
      <c r="F722" s="13"/>
      <c r="G722" s="13"/>
      <c r="H722" s="13"/>
      <c r="I722" s="13"/>
      <c r="J722" s="13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43"/>
      <c r="AY722" s="43"/>
      <c r="AZ722" s="43"/>
      <c r="BA722" s="43"/>
      <c r="BB722" s="43"/>
      <c r="BC722" s="43"/>
      <c r="BD722" s="43"/>
      <c r="BE722" s="43"/>
      <c r="BF722" s="43"/>
      <c r="BG722" s="43"/>
      <c r="BH722" s="43"/>
      <c r="BI722" s="13"/>
      <c r="BJ722" s="13"/>
      <c r="BK722" s="13"/>
      <c r="BL722" s="46"/>
      <c r="BM722" s="46"/>
      <c r="BN722" s="46"/>
      <c r="BO722" s="46"/>
      <c r="BP722" s="46"/>
      <c r="BQ722" s="46"/>
      <c r="BR722" s="34"/>
      <c r="BS722" s="34"/>
      <c r="BT722" s="34"/>
      <c r="BU722" s="34"/>
      <c r="BV722" s="34"/>
      <c r="BW722" s="34"/>
      <c r="BX722" s="34"/>
      <c r="BY722" s="4"/>
    </row>
    <row r="723" spans="1:77">
      <c r="A723" s="57"/>
      <c r="B723" s="12"/>
      <c r="C723" s="13"/>
      <c r="D723" s="13"/>
      <c r="E723" s="14"/>
      <c r="F723" s="13"/>
      <c r="G723" s="13"/>
      <c r="H723" s="13"/>
      <c r="I723" s="13"/>
      <c r="J723" s="13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43"/>
      <c r="AY723" s="43"/>
      <c r="AZ723" s="43"/>
      <c r="BA723" s="43"/>
      <c r="BB723" s="43"/>
      <c r="BC723" s="43"/>
      <c r="BD723" s="43"/>
      <c r="BE723" s="43"/>
      <c r="BF723" s="43"/>
      <c r="BG723" s="43"/>
      <c r="BH723" s="43"/>
      <c r="BI723" s="13"/>
      <c r="BJ723" s="13"/>
      <c r="BK723" s="13"/>
      <c r="BL723" s="46"/>
      <c r="BM723" s="46"/>
      <c r="BN723" s="46"/>
      <c r="BO723" s="46"/>
      <c r="BP723" s="46"/>
      <c r="BQ723" s="46"/>
      <c r="BR723" s="34"/>
      <c r="BS723" s="34"/>
      <c r="BT723" s="34"/>
      <c r="BU723" s="34"/>
      <c r="BV723" s="34"/>
      <c r="BW723" s="34"/>
      <c r="BX723" s="34"/>
      <c r="BY723" s="4"/>
    </row>
    <row r="724" spans="1:77">
      <c r="A724" s="57"/>
      <c r="B724" s="12"/>
      <c r="C724" s="13"/>
      <c r="D724" s="13"/>
      <c r="E724" s="14"/>
      <c r="F724" s="13"/>
      <c r="G724" s="13"/>
      <c r="H724" s="13"/>
      <c r="I724" s="13"/>
      <c r="J724" s="13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43"/>
      <c r="AY724" s="43"/>
      <c r="AZ724" s="43"/>
      <c r="BA724" s="43"/>
      <c r="BB724" s="43"/>
      <c r="BC724" s="43"/>
      <c r="BD724" s="43"/>
      <c r="BE724" s="43"/>
      <c r="BF724" s="43"/>
      <c r="BG724" s="43"/>
      <c r="BH724" s="43"/>
      <c r="BI724" s="13"/>
      <c r="BJ724" s="13"/>
      <c r="BK724" s="13"/>
      <c r="BL724" s="46"/>
      <c r="BM724" s="46"/>
      <c r="BN724" s="46"/>
      <c r="BO724" s="46"/>
      <c r="BP724" s="46"/>
      <c r="BQ724" s="46"/>
      <c r="BR724" s="34"/>
      <c r="BS724" s="34"/>
      <c r="BT724" s="34"/>
      <c r="BU724" s="34"/>
      <c r="BV724" s="34"/>
      <c r="BW724" s="34"/>
      <c r="BX724" s="34"/>
      <c r="BY724" s="4"/>
    </row>
    <row r="725" spans="1:77">
      <c r="A725" s="57"/>
      <c r="B725" s="13"/>
      <c r="C725" s="13"/>
      <c r="D725" s="13"/>
      <c r="E725" s="14"/>
      <c r="F725" s="13"/>
      <c r="G725" s="13"/>
      <c r="H725" s="13"/>
      <c r="I725" s="13"/>
      <c r="J725" s="13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43"/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13"/>
      <c r="BJ725" s="13"/>
      <c r="BK725" s="13"/>
      <c r="BL725" s="46"/>
      <c r="BM725" s="46"/>
      <c r="BN725" s="46"/>
      <c r="BO725" s="46"/>
      <c r="BP725" s="46"/>
      <c r="BQ725" s="46"/>
      <c r="BR725" s="34"/>
      <c r="BS725" s="34"/>
      <c r="BT725" s="34"/>
      <c r="BU725" s="34"/>
      <c r="BV725" s="34"/>
      <c r="BW725" s="34"/>
      <c r="BX725" s="34"/>
      <c r="BY725" s="4"/>
    </row>
    <row r="726" spans="1:77">
      <c r="A726" s="57"/>
      <c r="B726" s="12"/>
      <c r="C726" s="13"/>
      <c r="D726" s="13"/>
      <c r="E726" s="14"/>
      <c r="F726" s="13"/>
      <c r="G726" s="13"/>
      <c r="H726" s="13"/>
      <c r="I726" s="13"/>
      <c r="J726" s="13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43"/>
      <c r="AY726" s="43"/>
      <c r="AZ726" s="43"/>
      <c r="BA726" s="43"/>
      <c r="BB726" s="43"/>
      <c r="BC726" s="43"/>
      <c r="BD726" s="43"/>
      <c r="BE726" s="43"/>
      <c r="BF726" s="43"/>
      <c r="BG726" s="43"/>
      <c r="BH726" s="43"/>
      <c r="BI726" s="13"/>
      <c r="BJ726" s="13"/>
      <c r="BK726" s="13"/>
      <c r="BL726" s="46"/>
      <c r="BM726" s="46"/>
      <c r="BN726" s="46"/>
      <c r="BO726" s="46"/>
      <c r="BP726" s="46"/>
      <c r="BQ726" s="46"/>
      <c r="BR726" s="34"/>
      <c r="BS726" s="34"/>
      <c r="BT726" s="34"/>
      <c r="BU726" s="34"/>
      <c r="BV726" s="34"/>
      <c r="BW726" s="34"/>
      <c r="BX726" s="34"/>
      <c r="BY726" s="4"/>
    </row>
    <row r="727" spans="1:77">
      <c r="A727" s="57"/>
      <c r="B727" s="12"/>
      <c r="C727" s="13"/>
      <c r="D727" s="13"/>
      <c r="E727" s="14"/>
      <c r="F727" s="13"/>
      <c r="G727" s="13"/>
      <c r="H727" s="13"/>
      <c r="I727" s="13"/>
      <c r="J727" s="13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43"/>
      <c r="AY727" s="43"/>
      <c r="AZ727" s="43"/>
      <c r="BA727" s="43"/>
      <c r="BB727" s="43"/>
      <c r="BC727" s="43"/>
      <c r="BD727" s="43"/>
      <c r="BE727" s="43"/>
      <c r="BF727" s="43"/>
      <c r="BG727" s="43"/>
      <c r="BH727" s="43"/>
      <c r="BI727" s="13"/>
      <c r="BJ727" s="13"/>
      <c r="BK727" s="13"/>
      <c r="BL727" s="46"/>
      <c r="BM727" s="46"/>
      <c r="BN727" s="46"/>
      <c r="BO727" s="46"/>
      <c r="BP727" s="46"/>
      <c r="BQ727" s="46"/>
      <c r="BR727" s="34"/>
      <c r="BS727" s="34"/>
      <c r="BT727" s="34"/>
      <c r="BU727" s="34"/>
      <c r="BV727" s="34"/>
      <c r="BW727" s="34"/>
      <c r="BX727" s="34"/>
      <c r="BY727" s="4"/>
    </row>
    <row r="728" spans="1:77">
      <c r="A728" s="57"/>
      <c r="B728" s="12"/>
      <c r="C728" s="13"/>
      <c r="D728" s="13"/>
      <c r="E728" s="14"/>
      <c r="F728" s="13"/>
      <c r="G728" s="13"/>
      <c r="H728" s="13"/>
      <c r="I728" s="13"/>
      <c r="J728" s="13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43"/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13"/>
      <c r="BJ728" s="13"/>
      <c r="BK728" s="13"/>
      <c r="BL728" s="46"/>
      <c r="BM728" s="46"/>
      <c r="BN728" s="46"/>
      <c r="BO728" s="46"/>
      <c r="BP728" s="46"/>
      <c r="BQ728" s="46"/>
      <c r="BR728" s="34"/>
      <c r="BS728" s="34"/>
      <c r="BT728" s="34"/>
      <c r="BU728" s="34"/>
      <c r="BV728" s="34"/>
      <c r="BW728" s="34"/>
      <c r="BX728" s="34"/>
      <c r="BY728" s="4"/>
    </row>
    <row r="729" spans="1:77">
      <c r="A729" s="57"/>
      <c r="B729" s="12"/>
      <c r="C729" s="13"/>
      <c r="D729" s="13"/>
      <c r="E729" s="14"/>
      <c r="F729" s="13"/>
      <c r="G729" s="13"/>
      <c r="H729" s="13"/>
      <c r="I729" s="13"/>
      <c r="J729" s="13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43"/>
      <c r="AY729" s="43"/>
      <c r="AZ729" s="43"/>
      <c r="BA729" s="43"/>
      <c r="BB729" s="43"/>
      <c r="BC729" s="43"/>
      <c r="BD729" s="43"/>
      <c r="BE729" s="43"/>
      <c r="BF729" s="43"/>
      <c r="BG729" s="43"/>
      <c r="BH729" s="43"/>
      <c r="BI729" s="13"/>
      <c r="BJ729" s="13"/>
      <c r="BK729" s="13"/>
      <c r="BL729" s="46"/>
      <c r="BM729" s="46"/>
      <c r="BN729" s="46"/>
      <c r="BO729" s="46"/>
      <c r="BP729" s="46"/>
      <c r="BQ729" s="46"/>
      <c r="BR729" s="34"/>
      <c r="BS729" s="34"/>
      <c r="BT729" s="34"/>
      <c r="BU729" s="34"/>
      <c r="BV729" s="34"/>
      <c r="BW729" s="34"/>
      <c r="BX729" s="34"/>
      <c r="BY729" s="4"/>
    </row>
    <row r="730" spans="1:77">
      <c r="A730" s="57"/>
      <c r="B730" s="12"/>
      <c r="C730" s="13"/>
      <c r="D730" s="13"/>
      <c r="E730" s="14"/>
      <c r="F730" s="13"/>
      <c r="G730" s="13"/>
      <c r="H730" s="13"/>
      <c r="I730" s="13"/>
      <c r="J730" s="13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13"/>
      <c r="BJ730" s="13"/>
      <c r="BK730" s="13"/>
      <c r="BL730" s="46"/>
      <c r="BM730" s="46"/>
      <c r="BN730" s="46"/>
      <c r="BO730" s="46"/>
      <c r="BP730" s="46"/>
      <c r="BQ730" s="46"/>
      <c r="BR730" s="34"/>
      <c r="BS730" s="34"/>
      <c r="BT730" s="34"/>
      <c r="BU730" s="34"/>
      <c r="BV730" s="34"/>
      <c r="BW730" s="34"/>
      <c r="BX730" s="34"/>
      <c r="BY730" s="4"/>
    </row>
    <row r="731" spans="1:77">
      <c r="A731" s="57"/>
      <c r="B731" s="13"/>
      <c r="C731" s="13"/>
      <c r="D731" s="13"/>
      <c r="E731" s="14"/>
      <c r="F731" s="13"/>
      <c r="G731" s="13"/>
      <c r="H731" s="13"/>
      <c r="I731" s="13"/>
      <c r="J731" s="13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13"/>
      <c r="BJ731" s="13"/>
      <c r="BK731" s="13"/>
      <c r="BL731" s="46"/>
      <c r="BM731" s="46"/>
      <c r="BN731" s="46"/>
      <c r="BO731" s="46"/>
      <c r="BP731" s="46"/>
      <c r="BQ731" s="46"/>
      <c r="BR731" s="34"/>
      <c r="BS731" s="34"/>
      <c r="BT731" s="34"/>
      <c r="BU731" s="34"/>
      <c r="BV731" s="34"/>
      <c r="BW731" s="34"/>
      <c r="BX731" s="34"/>
      <c r="BY731" s="4"/>
    </row>
    <row r="732" spans="1:77">
      <c r="A732" s="57"/>
      <c r="B732" s="12"/>
      <c r="C732" s="13"/>
      <c r="D732" s="13"/>
      <c r="E732" s="14"/>
      <c r="F732" s="13"/>
      <c r="G732" s="13"/>
      <c r="H732" s="13"/>
      <c r="I732" s="13"/>
      <c r="J732" s="13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13"/>
      <c r="BJ732" s="13"/>
      <c r="BK732" s="13"/>
      <c r="BL732" s="46"/>
      <c r="BM732" s="46"/>
      <c r="BN732" s="46"/>
      <c r="BO732" s="46"/>
      <c r="BP732" s="46"/>
      <c r="BQ732" s="46"/>
      <c r="BR732" s="34"/>
      <c r="BS732" s="34"/>
      <c r="BT732" s="34"/>
      <c r="BU732" s="34"/>
      <c r="BV732" s="34"/>
      <c r="BW732" s="34"/>
      <c r="BX732" s="34"/>
      <c r="BY732" s="4"/>
    </row>
    <row r="733" spans="1:77">
      <c r="A733" s="57"/>
      <c r="B733" s="12"/>
      <c r="C733" s="13"/>
      <c r="D733" s="13"/>
      <c r="E733" s="14"/>
      <c r="F733" s="13"/>
      <c r="G733" s="13"/>
      <c r="H733" s="13"/>
      <c r="I733" s="13"/>
      <c r="J733" s="13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13"/>
      <c r="BJ733" s="13"/>
      <c r="BK733" s="13"/>
      <c r="BL733" s="46"/>
      <c r="BM733" s="46"/>
      <c r="BN733" s="46"/>
      <c r="BO733" s="46"/>
      <c r="BP733" s="46"/>
      <c r="BQ733" s="46"/>
      <c r="BR733" s="34"/>
      <c r="BS733" s="34"/>
      <c r="BT733" s="34"/>
      <c r="BU733" s="34"/>
      <c r="BV733" s="34"/>
      <c r="BW733" s="34"/>
      <c r="BX733" s="34"/>
      <c r="BY733" s="4"/>
    </row>
    <row r="734" spans="1:77">
      <c r="A734" s="57"/>
      <c r="B734" s="13"/>
      <c r="C734" s="13"/>
      <c r="D734" s="13"/>
      <c r="E734" s="14"/>
      <c r="F734" s="13"/>
      <c r="G734" s="13"/>
      <c r="H734" s="13"/>
      <c r="I734" s="13"/>
      <c r="J734" s="13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13"/>
      <c r="BJ734" s="13"/>
      <c r="BK734" s="13"/>
      <c r="BL734" s="46"/>
      <c r="BM734" s="46"/>
      <c r="BN734" s="46"/>
      <c r="BO734" s="46"/>
      <c r="BP734" s="46"/>
      <c r="BQ734" s="46"/>
      <c r="BR734" s="34"/>
      <c r="BS734" s="34"/>
      <c r="BT734" s="34"/>
      <c r="BU734" s="34"/>
      <c r="BV734" s="34"/>
      <c r="BW734" s="34"/>
      <c r="BX734" s="34"/>
      <c r="BY734" s="4"/>
    </row>
    <row r="735" spans="1:77">
      <c r="A735" s="57"/>
      <c r="B735" s="13"/>
      <c r="C735" s="13"/>
      <c r="D735" s="13"/>
      <c r="E735" s="14"/>
      <c r="F735" s="13"/>
      <c r="G735" s="13"/>
      <c r="H735" s="13"/>
      <c r="I735" s="13"/>
      <c r="J735" s="13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13"/>
      <c r="BJ735" s="13"/>
      <c r="BK735" s="13"/>
      <c r="BL735" s="46"/>
      <c r="BM735" s="46"/>
      <c r="BN735" s="46"/>
      <c r="BO735" s="46"/>
      <c r="BP735" s="46"/>
      <c r="BQ735" s="46"/>
      <c r="BR735" s="34"/>
      <c r="BS735" s="34"/>
      <c r="BT735" s="34"/>
      <c r="BU735" s="34"/>
      <c r="BV735" s="34"/>
      <c r="BW735" s="34"/>
      <c r="BX735" s="34"/>
      <c r="BY735" s="4"/>
    </row>
    <row r="736" spans="1:77">
      <c r="A736" s="57"/>
      <c r="B736" s="12"/>
      <c r="C736" s="13"/>
      <c r="D736" s="13"/>
      <c r="E736" s="14"/>
      <c r="F736" s="13"/>
      <c r="G736" s="13"/>
      <c r="H736" s="13"/>
      <c r="I736" s="13"/>
      <c r="J736" s="13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13"/>
      <c r="BJ736" s="13"/>
      <c r="BK736" s="13"/>
      <c r="BL736" s="46"/>
      <c r="BM736" s="46"/>
      <c r="BN736" s="46"/>
      <c r="BO736" s="46"/>
      <c r="BP736" s="46"/>
      <c r="BQ736" s="46"/>
      <c r="BR736" s="34"/>
      <c r="BS736" s="34"/>
      <c r="BT736" s="34"/>
      <c r="BU736" s="34"/>
      <c r="BV736" s="34"/>
      <c r="BW736" s="34"/>
      <c r="BX736" s="34"/>
      <c r="BY736" s="4"/>
    </row>
    <row r="737" spans="1:77">
      <c r="A737" s="57"/>
      <c r="B737" s="12"/>
      <c r="C737" s="13"/>
      <c r="D737" s="13"/>
      <c r="E737" s="14"/>
      <c r="F737" s="13"/>
      <c r="G737" s="13"/>
      <c r="H737" s="13"/>
      <c r="I737" s="13"/>
      <c r="J737" s="13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43"/>
      <c r="AY737" s="43"/>
      <c r="AZ737" s="43"/>
      <c r="BA737" s="43"/>
      <c r="BB737" s="43"/>
      <c r="BC737" s="43"/>
      <c r="BD737" s="43"/>
      <c r="BE737" s="43"/>
      <c r="BF737" s="43"/>
      <c r="BG737" s="43"/>
      <c r="BH737" s="43"/>
      <c r="BI737" s="13"/>
      <c r="BJ737" s="13"/>
      <c r="BK737" s="13"/>
      <c r="BL737" s="46"/>
      <c r="BM737" s="46"/>
      <c r="BN737" s="46"/>
      <c r="BO737" s="46"/>
      <c r="BP737" s="46"/>
      <c r="BQ737" s="46"/>
      <c r="BR737" s="34"/>
      <c r="BS737" s="34"/>
      <c r="BT737" s="34"/>
      <c r="BU737" s="34"/>
      <c r="BV737" s="34"/>
      <c r="BW737" s="34"/>
      <c r="BX737" s="34"/>
      <c r="BY737" s="4"/>
    </row>
    <row r="738" spans="1:77">
      <c r="A738" s="57"/>
      <c r="B738" s="12"/>
      <c r="C738" s="13"/>
      <c r="D738" s="13"/>
      <c r="E738" s="14"/>
      <c r="F738" s="13"/>
      <c r="G738" s="13"/>
      <c r="H738" s="13"/>
      <c r="I738" s="13"/>
      <c r="J738" s="13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43"/>
      <c r="AY738" s="43"/>
      <c r="AZ738" s="43"/>
      <c r="BA738" s="43"/>
      <c r="BB738" s="43"/>
      <c r="BC738" s="43"/>
      <c r="BD738" s="43"/>
      <c r="BE738" s="43"/>
      <c r="BF738" s="43"/>
      <c r="BG738" s="43"/>
      <c r="BH738" s="43"/>
      <c r="BI738" s="13"/>
      <c r="BJ738" s="13"/>
      <c r="BK738" s="13"/>
      <c r="BL738" s="46"/>
      <c r="BM738" s="46"/>
      <c r="BN738" s="46"/>
      <c r="BO738" s="46"/>
      <c r="BP738" s="46"/>
      <c r="BQ738" s="46"/>
      <c r="BR738" s="34"/>
      <c r="BS738" s="34"/>
      <c r="BT738" s="34"/>
      <c r="BU738" s="34"/>
      <c r="BV738" s="34"/>
      <c r="BW738" s="34"/>
      <c r="BX738" s="34"/>
      <c r="BY738" s="4"/>
    </row>
    <row r="739" spans="1:77">
      <c r="A739" s="57"/>
      <c r="B739" s="12"/>
      <c r="C739" s="13"/>
      <c r="D739" s="13"/>
      <c r="E739" s="14"/>
      <c r="F739" s="13"/>
      <c r="G739" s="13"/>
      <c r="H739" s="13"/>
      <c r="I739" s="13"/>
      <c r="J739" s="13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43"/>
      <c r="AY739" s="43"/>
      <c r="AZ739" s="43"/>
      <c r="BA739" s="43"/>
      <c r="BB739" s="43"/>
      <c r="BC739" s="43"/>
      <c r="BD739" s="43"/>
      <c r="BE739" s="43"/>
      <c r="BF739" s="43"/>
      <c r="BG739" s="43"/>
      <c r="BH739" s="43"/>
      <c r="BI739" s="13"/>
      <c r="BJ739" s="13"/>
      <c r="BK739" s="13"/>
      <c r="BL739" s="46"/>
      <c r="BM739" s="46"/>
      <c r="BN739" s="46"/>
      <c r="BO739" s="46"/>
      <c r="BP739" s="46"/>
      <c r="BQ739" s="46"/>
      <c r="BR739" s="34"/>
      <c r="BS739" s="34"/>
      <c r="BT739" s="34"/>
      <c r="BU739" s="34"/>
      <c r="BV739" s="34"/>
      <c r="BW739" s="34"/>
      <c r="BX739" s="34"/>
      <c r="BY739" s="4"/>
    </row>
    <row r="740" spans="1:77">
      <c r="A740" s="57"/>
      <c r="B740" s="12"/>
      <c r="C740" s="13"/>
      <c r="D740" s="13"/>
      <c r="E740" s="14"/>
      <c r="F740" s="13"/>
      <c r="G740" s="13"/>
      <c r="H740" s="13"/>
      <c r="I740" s="13"/>
      <c r="J740" s="13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43"/>
      <c r="AY740" s="43"/>
      <c r="AZ740" s="43"/>
      <c r="BA740" s="43"/>
      <c r="BB740" s="43"/>
      <c r="BC740" s="43"/>
      <c r="BD740" s="43"/>
      <c r="BE740" s="43"/>
      <c r="BF740" s="43"/>
      <c r="BG740" s="43"/>
      <c r="BH740" s="43"/>
      <c r="BI740" s="13"/>
      <c r="BJ740" s="13"/>
      <c r="BK740" s="13"/>
      <c r="BL740" s="46"/>
      <c r="BM740" s="46"/>
      <c r="BN740" s="46"/>
      <c r="BO740" s="46"/>
      <c r="BP740" s="46"/>
      <c r="BQ740" s="46"/>
      <c r="BR740" s="34"/>
      <c r="BS740" s="34"/>
      <c r="BT740" s="34"/>
      <c r="BU740" s="34"/>
      <c r="BV740" s="34"/>
      <c r="BW740" s="34"/>
      <c r="BX740" s="34"/>
      <c r="BY740" s="4"/>
    </row>
    <row r="741" spans="1:77">
      <c r="A741" s="57"/>
      <c r="B741" s="15"/>
      <c r="C741" s="13"/>
      <c r="D741" s="13"/>
      <c r="E741" s="14"/>
      <c r="F741" s="13"/>
      <c r="G741" s="13"/>
      <c r="H741" s="13"/>
      <c r="I741" s="13"/>
      <c r="J741" s="13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43"/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13"/>
      <c r="BJ741" s="13"/>
      <c r="BK741" s="13"/>
      <c r="BL741" s="46"/>
      <c r="BM741" s="46"/>
      <c r="BN741" s="46"/>
      <c r="BO741" s="46"/>
      <c r="BP741" s="46"/>
      <c r="BQ741" s="46"/>
      <c r="BR741" s="34"/>
      <c r="BS741" s="34"/>
      <c r="BT741" s="34"/>
      <c r="BU741" s="34"/>
      <c r="BV741" s="34"/>
      <c r="BW741" s="34"/>
      <c r="BX741" s="34"/>
      <c r="BY741" s="4"/>
    </row>
    <row r="742" spans="1:77">
      <c r="A742" s="57"/>
      <c r="B742" s="12"/>
      <c r="C742" s="13"/>
      <c r="D742" s="13"/>
      <c r="E742" s="14"/>
      <c r="F742" s="13"/>
      <c r="G742" s="13"/>
      <c r="H742" s="13"/>
      <c r="I742" s="13"/>
      <c r="J742" s="13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43"/>
      <c r="AY742" s="43"/>
      <c r="AZ742" s="43"/>
      <c r="BA742" s="43"/>
      <c r="BB742" s="43"/>
      <c r="BC742" s="43"/>
      <c r="BD742" s="43"/>
      <c r="BE742" s="43"/>
      <c r="BF742" s="43"/>
      <c r="BG742" s="43"/>
      <c r="BH742" s="43"/>
      <c r="BI742" s="13"/>
      <c r="BJ742" s="13"/>
      <c r="BK742" s="13"/>
      <c r="BL742" s="46"/>
      <c r="BM742" s="46"/>
      <c r="BN742" s="46"/>
      <c r="BO742" s="46"/>
      <c r="BP742" s="46"/>
      <c r="BQ742" s="46"/>
      <c r="BR742" s="34"/>
      <c r="BS742" s="34"/>
      <c r="BT742" s="34"/>
      <c r="BU742" s="34"/>
      <c r="BV742" s="34"/>
      <c r="BW742" s="34"/>
      <c r="BX742" s="34"/>
      <c r="BY742" s="4"/>
    </row>
    <row r="743" spans="1:77">
      <c r="A743" s="57"/>
      <c r="B743" s="15"/>
      <c r="C743" s="13"/>
      <c r="D743" s="13"/>
      <c r="E743" s="14"/>
      <c r="F743" s="13"/>
      <c r="G743" s="13"/>
      <c r="H743" s="13"/>
      <c r="I743" s="13"/>
      <c r="J743" s="13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43"/>
      <c r="AY743" s="43"/>
      <c r="AZ743" s="43"/>
      <c r="BA743" s="43"/>
      <c r="BB743" s="43"/>
      <c r="BC743" s="43"/>
      <c r="BD743" s="43"/>
      <c r="BE743" s="43"/>
      <c r="BF743" s="43"/>
      <c r="BG743" s="43"/>
      <c r="BH743" s="43"/>
      <c r="BI743" s="13"/>
      <c r="BJ743" s="13"/>
      <c r="BK743" s="13"/>
      <c r="BL743" s="46"/>
      <c r="BM743" s="46"/>
      <c r="BN743" s="46"/>
      <c r="BO743" s="46"/>
      <c r="BP743" s="46"/>
      <c r="BQ743" s="46"/>
      <c r="BR743" s="34"/>
      <c r="BS743" s="34"/>
      <c r="BT743" s="34"/>
      <c r="BU743" s="34"/>
      <c r="BV743" s="34"/>
      <c r="BW743" s="34"/>
      <c r="BX743" s="34"/>
      <c r="BY743" s="4"/>
    </row>
    <row r="744" spans="1:77">
      <c r="A744" s="57"/>
      <c r="B744" s="12"/>
      <c r="C744" s="13"/>
      <c r="D744" s="13"/>
      <c r="E744" s="14"/>
      <c r="F744" s="13"/>
      <c r="G744" s="13"/>
      <c r="H744" s="13"/>
      <c r="I744" s="13"/>
      <c r="J744" s="13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43"/>
      <c r="AY744" s="43"/>
      <c r="AZ744" s="43"/>
      <c r="BA744" s="43"/>
      <c r="BB744" s="43"/>
      <c r="BC744" s="43"/>
      <c r="BD744" s="43"/>
      <c r="BE744" s="43"/>
      <c r="BF744" s="43"/>
      <c r="BG744" s="43"/>
      <c r="BH744" s="43"/>
      <c r="BI744" s="13"/>
      <c r="BJ744" s="13"/>
      <c r="BK744" s="13"/>
      <c r="BL744" s="46"/>
      <c r="BM744" s="46"/>
      <c r="BN744" s="46"/>
      <c r="BO744" s="46"/>
      <c r="BP744" s="46"/>
      <c r="BQ744" s="46"/>
      <c r="BR744" s="34"/>
      <c r="BS744" s="34"/>
      <c r="BT744" s="34"/>
      <c r="BU744" s="34"/>
      <c r="BV744" s="34"/>
      <c r="BW744" s="34"/>
      <c r="BX744" s="34"/>
      <c r="BY744" s="4"/>
    </row>
    <row r="745" spans="1:77">
      <c r="A745" s="57"/>
      <c r="B745" s="13"/>
      <c r="C745" s="13"/>
      <c r="D745" s="13"/>
      <c r="E745" s="14"/>
      <c r="F745" s="13"/>
      <c r="G745" s="13"/>
      <c r="H745" s="13"/>
      <c r="I745" s="13"/>
      <c r="J745" s="13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43"/>
      <c r="AY745" s="43"/>
      <c r="AZ745" s="43"/>
      <c r="BA745" s="43"/>
      <c r="BB745" s="43"/>
      <c r="BC745" s="43"/>
      <c r="BD745" s="43"/>
      <c r="BE745" s="43"/>
      <c r="BF745" s="43"/>
      <c r="BG745" s="43"/>
      <c r="BH745" s="43"/>
      <c r="BI745" s="13"/>
      <c r="BJ745" s="13"/>
      <c r="BK745" s="13"/>
      <c r="BL745" s="46"/>
      <c r="BM745" s="46"/>
      <c r="BN745" s="46"/>
      <c r="BO745" s="46"/>
      <c r="BP745" s="46"/>
      <c r="BQ745" s="46"/>
      <c r="BR745" s="34"/>
      <c r="BS745" s="34"/>
      <c r="BT745" s="34"/>
      <c r="BU745" s="34"/>
      <c r="BV745" s="34"/>
      <c r="BW745" s="34"/>
      <c r="BX745" s="34"/>
      <c r="BY745" s="4"/>
    </row>
    <row r="746" spans="1:77">
      <c r="A746" s="57"/>
      <c r="B746" s="15"/>
      <c r="C746" s="13"/>
      <c r="D746" s="13"/>
      <c r="E746" s="14"/>
      <c r="F746" s="13"/>
      <c r="G746" s="13"/>
      <c r="H746" s="13"/>
      <c r="I746" s="13"/>
      <c r="J746" s="13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13"/>
      <c r="BJ746" s="13"/>
      <c r="BK746" s="13"/>
      <c r="BL746" s="46"/>
      <c r="BM746" s="46"/>
      <c r="BN746" s="46"/>
      <c r="BO746" s="46"/>
      <c r="BP746" s="46"/>
      <c r="BQ746" s="46"/>
      <c r="BR746" s="34"/>
      <c r="BS746" s="34"/>
      <c r="BT746" s="34"/>
      <c r="BU746" s="34"/>
      <c r="BV746" s="34"/>
      <c r="BW746" s="34"/>
      <c r="BX746" s="34"/>
      <c r="BY746" s="4"/>
    </row>
    <row r="747" spans="1:77">
      <c r="A747" s="57"/>
      <c r="B747" s="13"/>
      <c r="C747" s="13"/>
      <c r="D747" s="13"/>
      <c r="E747" s="14"/>
      <c r="F747" s="13"/>
      <c r="G747" s="13"/>
      <c r="H747" s="13"/>
      <c r="I747" s="13"/>
      <c r="J747" s="13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13"/>
      <c r="BJ747" s="13"/>
      <c r="BK747" s="13"/>
      <c r="BL747" s="46"/>
      <c r="BM747" s="46"/>
      <c r="BN747" s="46"/>
      <c r="BO747" s="46"/>
      <c r="BP747" s="46"/>
      <c r="BQ747" s="46"/>
      <c r="BR747" s="34"/>
      <c r="BS747" s="34"/>
      <c r="BT747" s="34"/>
      <c r="BU747" s="34"/>
      <c r="BV747" s="34"/>
      <c r="BW747" s="34"/>
      <c r="BX747" s="34"/>
      <c r="BY747" s="4"/>
    </row>
    <row r="748" spans="1:77">
      <c r="A748" s="57"/>
      <c r="B748" s="15"/>
      <c r="C748" s="13"/>
      <c r="D748" s="13"/>
      <c r="E748" s="14"/>
      <c r="F748" s="13"/>
      <c r="G748" s="13"/>
      <c r="H748" s="13"/>
      <c r="I748" s="13"/>
      <c r="J748" s="13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43"/>
      <c r="AY748" s="43"/>
      <c r="AZ748" s="43"/>
      <c r="BA748" s="43"/>
      <c r="BB748" s="43"/>
      <c r="BC748" s="43"/>
      <c r="BD748" s="43"/>
      <c r="BE748" s="43"/>
      <c r="BF748" s="43"/>
      <c r="BG748" s="43"/>
      <c r="BH748" s="43"/>
      <c r="BI748" s="13"/>
      <c r="BJ748" s="13"/>
      <c r="BK748" s="13"/>
      <c r="BL748" s="46"/>
      <c r="BM748" s="46"/>
      <c r="BN748" s="46"/>
      <c r="BO748" s="46"/>
      <c r="BP748" s="46"/>
      <c r="BQ748" s="46"/>
      <c r="BR748" s="34"/>
      <c r="BS748" s="34"/>
      <c r="BT748" s="34"/>
      <c r="BU748" s="34"/>
      <c r="BV748" s="34"/>
      <c r="BW748" s="34"/>
      <c r="BX748" s="34"/>
      <c r="BY748" s="4"/>
    </row>
    <row r="749" spans="1:77">
      <c r="A749" s="57"/>
      <c r="B749" s="12"/>
      <c r="C749" s="13"/>
      <c r="D749" s="13"/>
      <c r="E749" s="14"/>
      <c r="F749" s="13"/>
      <c r="G749" s="13"/>
      <c r="H749" s="13"/>
      <c r="I749" s="13"/>
      <c r="J749" s="13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43"/>
      <c r="AY749" s="43"/>
      <c r="AZ749" s="43"/>
      <c r="BA749" s="43"/>
      <c r="BB749" s="43"/>
      <c r="BC749" s="43"/>
      <c r="BD749" s="43"/>
      <c r="BE749" s="43"/>
      <c r="BF749" s="43"/>
      <c r="BG749" s="43"/>
      <c r="BH749" s="43"/>
      <c r="BI749" s="13"/>
      <c r="BJ749" s="13"/>
      <c r="BK749" s="13"/>
      <c r="BL749" s="46"/>
      <c r="BM749" s="46"/>
      <c r="BN749" s="46"/>
      <c r="BO749" s="46"/>
      <c r="BP749" s="46"/>
      <c r="BQ749" s="46"/>
      <c r="BR749" s="34"/>
      <c r="BS749" s="34"/>
      <c r="BT749" s="34"/>
      <c r="BU749" s="34"/>
      <c r="BV749" s="34"/>
      <c r="BW749" s="34"/>
      <c r="BX749" s="34"/>
      <c r="BY749" s="4"/>
    </row>
    <row r="750" spans="1:77">
      <c r="A750" s="57"/>
      <c r="B750" s="13"/>
      <c r="C750" s="13"/>
      <c r="D750" s="13"/>
      <c r="E750" s="14"/>
      <c r="F750" s="13"/>
      <c r="G750" s="13"/>
      <c r="H750" s="13"/>
      <c r="I750" s="13"/>
      <c r="J750" s="13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43"/>
      <c r="AY750" s="43"/>
      <c r="AZ750" s="43"/>
      <c r="BA750" s="43"/>
      <c r="BB750" s="43"/>
      <c r="BC750" s="43"/>
      <c r="BD750" s="43"/>
      <c r="BE750" s="43"/>
      <c r="BF750" s="43"/>
      <c r="BG750" s="43"/>
      <c r="BH750" s="43"/>
      <c r="BI750" s="13"/>
      <c r="BJ750" s="13"/>
      <c r="BK750" s="13"/>
      <c r="BL750" s="46"/>
      <c r="BM750" s="46"/>
      <c r="BN750" s="46"/>
      <c r="BO750" s="46"/>
      <c r="BP750" s="46"/>
      <c r="BQ750" s="46"/>
      <c r="BR750" s="34"/>
      <c r="BS750" s="34"/>
      <c r="BT750" s="34"/>
      <c r="BU750" s="34"/>
      <c r="BV750" s="34"/>
      <c r="BW750" s="34"/>
      <c r="BX750" s="34"/>
      <c r="BY750" s="4"/>
    </row>
    <row r="751" spans="1:77">
      <c r="A751" s="57"/>
      <c r="B751" s="13"/>
      <c r="C751" s="13"/>
      <c r="D751" s="13"/>
      <c r="E751" s="14"/>
      <c r="F751" s="13"/>
      <c r="G751" s="13"/>
      <c r="H751" s="13"/>
      <c r="I751" s="13"/>
      <c r="J751" s="13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43"/>
      <c r="AY751" s="43"/>
      <c r="AZ751" s="43"/>
      <c r="BA751" s="43"/>
      <c r="BB751" s="43"/>
      <c r="BC751" s="43"/>
      <c r="BD751" s="43"/>
      <c r="BE751" s="43"/>
      <c r="BF751" s="43"/>
      <c r="BG751" s="43"/>
      <c r="BH751" s="43"/>
      <c r="BI751" s="13"/>
      <c r="BJ751" s="13"/>
      <c r="BK751" s="13"/>
      <c r="BL751" s="46"/>
      <c r="BM751" s="46"/>
      <c r="BN751" s="46"/>
      <c r="BO751" s="46"/>
      <c r="BP751" s="46"/>
      <c r="BQ751" s="46"/>
      <c r="BR751" s="34"/>
      <c r="BS751" s="34"/>
      <c r="BT751" s="34"/>
      <c r="BU751" s="34"/>
      <c r="BV751" s="34"/>
      <c r="BW751" s="34"/>
      <c r="BX751" s="34"/>
      <c r="BY751" s="4"/>
    </row>
    <row r="752" spans="1:77">
      <c r="A752" s="57"/>
      <c r="B752" s="13"/>
      <c r="C752" s="13"/>
      <c r="D752" s="13"/>
      <c r="E752" s="14"/>
      <c r="F752" s="13"/>
      <c r="G752" s="13"/>
      <c r="H752" s="13"/>
      <c r="I752" s="13"/>
      <c r="J752" s="13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43"/>
      <c r="AY752" s="43"/>
      <c r="AZ752" s="43"/>
      <c r="BA752" s="43"/>
      <c r="BB752" s="43"/>
      <c r="BC752" s="43"/>
      <c r="BD752" s="43"/>
      <c r="BE752" s="43"/>
      <c r="BF752" s="43"/>
      <c r="BG752" s="43"/>
      <c r="BH752" s="43"/>
      <c r="BI752" s="13"/>
      <c r="BJ752" s="13"/>
      <c r="BK752" s="13"/>
      <c r="BL752" s="46"/>
      <c r="BM752" s="46"/>
      <c r="BN752" s="46"/>
      <c r="BO752" s="46"/>
      <c r="BP752" s="46"/>
      <c r="BQ752" s="46"/>
      <c r="BR752" s="34"/>
      <c r="BS752" s="34"/>
      <c r="BT752" s="34"/>
      <c r="BU752" s="34"/>
      <c r="BV752" s="34"/>
      <c r="BW752" s="34"/>
      <c r="BX752" s="34"/>
      <c r="BY752" s="4"/>
    </row>
    <row r="753" spans="1:77">
      <c r="A753" s="57"/>
      <c r="B753" s="15"/>
      <c r="C753" s="13"/>
      <c r="D753" s="13"/>
      <c r="E753" s="14"/>
      <c r="F753" s="13"/>
      <c r="G753" s="13"/>
      <c r="H753" s="13"/>
      <c r="I753" s="13"/>
      <c r="J753" s="13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43"/>
      <c r="AY753" s="43"/>
      <c r="AZ753" s="43"/>
      <c r="BA753" s="43"/>
      <c r="BB753" s="43"/>
      <c r="BC753" s="43"/>
      <c r="BD753" s="43"/>
      <c r="BE753" s="43"/>
      <c r="BF753" s="43"/>
      <c r="BG753" s="43"/>
      <c r="BH753" s="43"/>
      <c r="BI753" s="13"/>
      <c r="BJ753" s="13"/>
      <c r="BK753" s="13"/>
      <c r="BL753" s="46"/>
      <c r="BM753" s="46"/>
      <c r="BN753" s="46"/>
      <c r="BO753" s="46"/>
      <c r="BP753" s="46"/>
      <c r="BQ753" s="46"/>
      <c r="BR753" s="34"/>
      <c r="BS753" s="34"/>
      <c r="BT753" s="34"/>
      <c r="BU753" s="34"/>
      <c r="BV753" s="34"/>
      <c r="BW753" s="34"/>
      <c r="BX753" s="34"/>
      <c r="BY753" s="4"/>
    </row>
    <row r="754" spans="1:77">
      <c r="A754" s="57"/>
      <c r="B754" s="12"/>
      <c r="C754" s="13"/>
      <c r="D754" s="13"/>
      <c r="E754" s="14"/>
      <c r="F754" s="13"/>
      <c r="G754" s="13"/>
      <c r="H754" s="13"/>
      <c r="I754" s="13"/>
      <c r="J754" s="13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43"/>
      <c r="AY754" s="43"/>
      <c r="AZ754" s="43"/>
      <c r="BA754" s="43"/>
      <c r="BB754" s="43"/>
      <c r="BC754" s="43"/>
      <c r="BD754" s="43"/>
      <c r="BE754" s="43"/>
      <c r="BF754" s="43"/>
      <c r="BG754" s="43"/>
      <c r="BH754" s="43"/>
      <c r="BI754" s="13"/>
      <c r="BJ754" s="13"/>
      <c r="BK754" s="13"/>
      <c r="BL754" s="46"/>
      <c r="BM754" s="46"/>
      <c r="BN754" s="46"/>
      <c r="BO754" s="46"/>
      <c r="BP754" s="46"/>
      <c r="BQ754" s="46"/>
      <c r="BR754" s="34"/>
      <c r="BS754" s="34"/>
      <c r="BT754" s="34"/>
      <c r="BU754" s="34"/>
      <c r="BV754" s="34"/>
      <c r="BW754" s="34"/>
      <c r="BX754" s="34"/>
      <c r="BY754" s="4"/>
    </row>
    <row r="755" spans="1:77">
      <c r="A755" s="57"/>
      <c r="B755" s="12"/>
      <c r="C755" s="13"/>
      <c r="D755" s="13"/>
      <c r="E755" s="14"/>
      <c r="F755" s="13"/>
      <c r="G755" s="13"/>
      <c r="H755" s="13"/>
      <c r="I755" s="13"/>
      <c r="J755" s="13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43"/>
      <c r="AY755" s="43"/>
      <c r="AZ755" s="43"/>
      <c r="BA755" s="43"/>
      <c r="BB755" s="43"/>
      <c r="BC755" s="43"/>
      <c r="BD755" s="43"/>
      <c r="BE755" s="43"/>
      <c r="BF755" s="43"/>
      <c r="BG755" s="43"/>
      <c r="BH755" s="43"/>
      <c r="BI755" s="13"/>
      <c r="BJ755" s="13"/>
      <c r="BK755" s="13"/>
      <c r="BL755" s="46"/>
      <c r="BM755" s="46"/>
      <c r="BN755" s="46"/>
      <c r="BO755" s="46"/>
      <c r="BP755" s="46"/>
      <c r="BQ755" s="46"/>
      <c r="BR755" s="34"/>
      <c r="BS755" s="34"/>
      <c r="BT755" s="34"/>
      <c r="BU755" s="34"/>
      <c r="BV755" s="34"/>
      <c r="BW755" s="34"/>
      <c r="BX755" s="34"/>
      <c r="BY755" s="4"/>
    </row>
    <row r="756" spans="1:77">
      <c r="A756" s="57"/>
      <c r="B756" s="13"/>
      <c r="C756" s="13"/>
      <c r="D756" s="13"/>
      <c r="E756" s="14"/>
      <c r="F756" s="13"/>
      <c r="G756" s="13"/>
      <c r="H756" s="13"/>
      <c r="I756" s="13"/>
      <c r="J756" s="13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43"/>
      <c r="AY756" s="43"/>
      <c r="AZ756" s="43"/>
      <c r="BA756" s="43"/>
      <c r="BB756" s="43"/>
      <c r="BC756" s="43"/>
      <c r="BD756" s="43"/>
      <c r="BE756" s="43"/>
      <c r="BF756" s="43"/>
      <c r="BG756" s="43"/>
      <c r="BH756" s="43"/>
      <c r="BI756" s="13"/>
      <c r="BJ756" s="13"/>
      <c r="BK756" s="13"/>
      <c r="BL756" s="46"/>
      <c r="BM756" s="46"/>
      <c r="BN756" s="46"/>
      <c r="BO756" s="46"/>
      <c r="BP756" s="46"/>
      <c r="BQ756" s="46"/>
      <c r="BR756" s="34"/>
      <c r="BS756" s="34"/>
      <c r="BT756" s="34"/>
      <c r="BU756" s="34"/>
      <c r="BV756" s="34"/>
      <c r="BW756" s="34"/>
      <c r="BX756" s="34"/>
      <c r="BY756" s="4"/>
    </row>
    <row r="757" spans="1:77">
      <c r="A757" s="57"/>
      <c r="B757" s="12"/>
      <c r="C757" s="13"/>
      <c r="D757" s="13"/>
      <c r="E757" s="14"/>
      <c r="F757" s="13"/>
      <c r="G757" s="13"/>
      <c r="H757" s="13"/>
      <c r="I757" s="13"/>
      <c r="J757" s="13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43"/>
      <c r="AY757" s="43"/>
      <c r="AZ757" s="43"/>
      <c r="BA757" s="43"/>
      <c r="BB757" s="43"/>
      <c r="BC757" s="43"/>
      <c r="BD757" s="43"/>
      <c r="BE757" s="43"/>
      <c r="BF757" s="43"/>
      <c r="BG757" s="43"/>
      <c r="BH757" s="43"/>
      <c r="BI757" s="13"/>
      <c r="BJ757" s="13"/>
      <c r="BK757" s="13"/>
      <c r="BL757" s="46"/>
      <c r="BM757" s="46"/>
      <c r="BN757" s="46"/>
      <c r="BO757" s="46"/>
      <c r="BP757" s="46"/>
      <c r="BQ757" s="46"/>
      <c r="BR757" s="34"/>
      <c r="BS757" s="34"/>
      <c r="BT757" s="34"/>
      <c r="BU757" s="34"/>
      <c r="BV757" s="34"/>
      <c r="BW757" s="34"/>
      <c r="BX757" s="34"/>
      <c r="BY757" s="4"/>
    </row>
    <row r="758" spans="1:77">
      <c r="A758" s="57"/>
      <c r="B758" s="12"/>
      <c r="C758" s="13"/>
      <c r="D758" s="13"/>
      <c r="E758" s="14"/>
      <c r="F758" s="13"/>
      <c r="G758" s="13"/>
      <c r="H758" s="13"/>
      <c r="I758" s="13"/>
      <c r="J758" s="13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43"/>
      <c r="AY758" s="43"/>
      <c r="AZ758" s="43"/>
      <c r="BA758" s="43"/>
      <c r="BB758" s="43"/>
      <c r="BC758" s="43"/>
      <c r="BD758" s="43"/>
      <c r="BE758" s="43"/>
      <c r="BF758" s="43"/>
      <c r="BG758" s="43"/>
      <c r="BH758" s="43"/>
      <c r="BI758" s="13"/>
      <c r="BJ758" s="13"/>
      <c r="BK758" s="13"/>
      <c r="BL758" s="46"/>
      <c r="BM758" s="46"/>
      <c r="BN758" s="46"/>
      <c r="BO758" s="46"/>
      <c r="BP758" s="46"/>
      <c r="BQ758" s="46"/>
      <c r="BR758" s="34"/>
      <c r="BS758" s="34"/>
      <c r="BT758" s="34"/>
      <c r="BU758" s="34"/>
      <c r="BV758" s="34"/>
      <c r="BW758" s="34"/>
      <c r="BX758" s="34"/>
      <c r="BY758" s="4"/>
    </row>
    <row r="759" spans="1:77">
      <c r="A759" s="57"/>
      <c r="B759" s="12"/>
      <c r="C759" s="13"/>
      <c r="D759" s="13"/>
      <c r="E759" s="14"/>
      <c r="F759" s="13"/>
      <c r="G759" s="13"/>
      <c r="H759" s="13"/>
      <c r="I759" s="13"/>
      <c r="J759" s="13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43"/>
      <c r="AY759" s="43"/>
      <c r="AZ759" s="43"/>
      <c r="BA759" s="43"/>
      <c r="BB759" s="43"/>
      <c r="BC759" s="43"/>
      <c r="BD759" s="43"/>
      <c r="BE759" s="43"/>
      <c r="BF759" s="43"/>
      <c r="BG759" s="43"/>
      <c r="BH759" s="43"/>
      <c r="BI759" s="13"/>
      <c r="BJ759" s="13"/>
      <c r="BK759" s="13"/>
      <c r="BL759" s="46"/>
      <c r="BM759" s="46"/>
      <c r="BN759" s="46"/>
      <c r="BO759" s="46"/>
      <c r="BP759" s="46"/>
      <c r="BQ759" s="46"/>
      <c r="BR759" s="34"/>
      <c r="BS759" s="34"/>
      <c r="BT759" s="34"/>
      <c r="BU759" s="34"/>
      <c r="BV759" s="34"/>
      <c r="BW759" s="34"/>
      <c r="BX759" s="34"/>
      <c r="BY759" s="4"/>
    </row>
    <row r="760" spans="1:77">
      <c r="A760" s="57"/>
      <c r="B760" s="13"/>
      <c r="C760" s="13"/>
      <c r="D760" s="13"/>
      <c r="E760" s="14"/>
      <c r="F760" s="13"/>
      <c r="G760" s="13"/>
      <c r="H760" s="13"/>
      <c r="I760" s="13"/>
      <c r="J760" s="13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43"/>
      <c r="AY760" s="43"/>
      <c r="AZ760" s="43"/>
      <c r="BA760" s="43"/>
      <c r="BB760" s="43"/>
      <c r="BC760" s="43"/>
      <c r="BD760" s="43"/>
      <c r="BE760" s="43"/>
      <c r="BF760" s="43"/>
      <c r="BG760" s="43"/>
      <c r="BH760" s="43"/>
      <c r="BI760" s="13"/>
      <c r="BJ760" s="13"/>
      <c r="BK760" s="13"/>
      <c r="BL760" s="46"/>
      <c r="BM760" s="46"/>
      <c r="BN760" s="46"/>
      <c r="BO760" s="46"/>
      <c r="BP760" s="46"/>
      <c r="BQ760" s="46"/>
      <c r="BR760" s="34"/>
      <c r="BS760" s="34"/>
      <c r="BT760" s="34"/>
      <c r="BU760" s="34"/>
      <c r="BV760" s="34"/>
      <c r="BW760" s="34"/>
      <c r="BX760" s="34"/>
      <c r="BY760" s="4"/>
    </row>
    <row r="761" spans="1:77">
      <c r="A761" s="57"/>
      <c r="B761" s="13"/>
      <c r="C761" s="13"/>
      <c r="D761" s="13"/>
      <c r="E761" s="14"/>
      <c r="F761" s="13"/>
      <c r="G761" s="13"/>
      <c r="H761" s="13"/>
      <c r="I761" s="13"/>
      <c r="J761" s="13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43"/>
      <c r="AY761" s="43"/>
      <c r="AZ761" s="43"/>
      <c r="BA761" s="43"/>
      <c r="BB761" s="43"/>
      <c r="BC761" s="43"/>
      <c r="BD761" s="43"/>
      <c r="BE761" s="43"/>
      <c r="BF761" s="43"/>
      <c r="BG761" s="43"/>
      <c r="BH761" s="43"/>
      <c r="BI761" s="13"/>
      <c r="BJ761" s="13"/>
      <c r="BK761" s="13"/>
      <c r="BL761" s="46"/>
      <c r="BM761" s="46"/>
      <c r="BN761" s="46"/>
      <c r="BO761" s="46"/>
      <c r="BP761" s="46"/>
      <c r="BQ761" s="46"/>
      <c r="BR761" s="34"/>
      <c r="BS761" s="34"/>
      <c r="BT761" s="34"/>
      <c r="BU761" s="34"/>
      <c r="BV761" s="34"/>
      <c r="BW761" s="34"/>
      <c r="BX761" s="34"/>
      <c r="BY761" s="4"/>
    </row>
    <row r="762" spans="1:77">
      <c r="A762" s="57"/>
      <c r="B762" s="13"/>
      <c r="C762" s="13"/>
      <c r="D762" s="13"/>
      <c r="E762" s="14"/>
      <c r="F762" s="13"/>
      <c r="G762" s="13"/>
      <c r="H762" s="13"/>
      <c r="I762" s="13"/>
      <c r="J762" s="13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43"/>
      <c r="AY762" s="43"/>
      <c r="AZ762" s="43"/>
      <c r="BA762" s="43"/>
      <c r="BB762" s="43"/>
      <c r="BC762" s="43"/>
      <c r="BD762" s="43"/>
      <c r="BE762" s="43"/>
      <c r="BF762" s="43"/>
      <c r="BG762" s="43"/>
      <c r="BH762" s="43"/>
      <c r="BI762" s="13"/>
      <c r="BJ762" s="13"/>
      <c r="BK762" s="13"/>
      <c r="BL762" s="46"/>
      <c r="BM762" s="46"/>
      <c r="BN762" s="46"/>
      <c r="BO762" s="46"/>
      <c r="BP762" s="46"/>
      <c r="BQ762" s="46"/>
      <c r="BR762" s="34"/>
      <c r="BS762" s="34"/>
      <c r="BT762" s="34"/>
      <c r="BU762" s="34"/>
      <c r="BV762" s="34"/>
      <c r="BW762" s="34"/>
      <c r="BX762" s="34"/>
      <c r="BY762" s="4"/>
    </row>
    <row r="763" spans="1:77">
      <c r="A763" s="57"/>
      <c r="B763" s="12"/>
      <c r="C763" s="13"/>
      <c r="D763" s="13"/>
      <c r="E763" s="14"/>
      <c r="F763" s="13"/>
      <c r="G763" s="13"/>
      <c r="H763" s="13"/>
      <c r="I763" s="13"/>
      <c r="J763" s="13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43"/>
      <c r="AY763" s="43"/>
      <c r="AZ763" s="43"/>
      <c r="BA763" s="43"/>
      <c r="BB763" s="43"/>
      <c r="BC763" s="43"/>
      <c r="BD763" s="43"/>
      <c r="BE763" s="43"/>
      <c r="BF763" s="43"/>
      <c r="BG763" s="43"/>
      <c r="BH763" s="43"/>
      <c r="BI763" s="13"/>
      <c r="BJ763" s="13"/>
      <c r="BK763" s="13"/>
      <c r="BL763" s="46"/>
      <c r="BM763" s="46"/>
      <c r="BN763" s="46"/>
      <c r="BO763" s="46"/>
      <c r="BP763" s="46"/>
      <c r="BQ763" s="46"/>
      <c r="BR763" s="34"/>
      <c r="BS763" s="34"/>
      <c r="BT763" s="34"/>
      <c r="BU763" s="34"/>
      <c r="BV763" s="34"/>
      <c r="BW763" s="34"/>
      <c r="BX763" s="34"/>
      <c r="BY763" s="4"/>
    </row>
    <row r="764" spans="1:77">
      <c r="A764" s="57"/>
      <c r="B764" s="13"/>
      <c r="C764" s="13"/>
      <c r="D764" s="13"/>
      <c r="E764" s="14"/>
      <c r="F764" s="13"/>
      <c r="G764" s="13"/>
      <c r="H764" s="13"/>
      <c r="I764" s="13"/>
      <c r="J764" s="13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43"/>
      <c r="AY764" s="43"/>
      <c r="AZ764" s="43"/>
      <c r="BA764" s="43"/>
      <c r="BB764" s="43"/>
      <c r="BC764" s="43"/>
      <c r="BD764" s="43"/>
      <c r="BE764" s="43"/>
      <c r="BF764" s="43"/>
      <c r="BG764" s="43"/>
      <c r="BH764" s="43"/>
      <c r="BI764" s="13"/>
      <c r="BJ764" s="13"/>
      <c r="BK764" s="13"/>
      <c r="BL764" s="46"/>
      <c r="BM764" s="46"/>
      <c r="BN764" s="46"/>
      <c r="BO764" s="46"/>
      <c r="BP764" s="46"/>
      <c r="BQ764" s="46"/>
      <c r="BR764" s="34"/>
      <c r="BS764" s="34"/>
      <c r="BT764" s="34"/>
      <c r="BU764" s="34"/>
      <c r="BV764" s="34"/>
      <c r="BW764" s="34"/>
      <c r="BX764" s="34"/>
      <c r="BY764" s="4"/>
    </row>
    <row r="765" spans="1:77">
      <c r="A765" s="57"/>
      <c r="B765" s="12"/>
      <c r="C765" s="13"/>
      <c r="D765" s="13"/>
      <c r="E765" s="14"/>
      <c r="F765" s="13"/>
      <c r="G765" s="13"/>
      <c r="H765" s="13"/>
      <c r="I765" s="13"/>
      <c r="J765" s="13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43"/>
      <c r="AY765" s="43"/>
      <c r="AZ765" s="43"/>
      <c r="BA765" s="43"/>
      <c r="BB765" s="43"/>
      <c r="BC765" s="43"/>
      <c r="BD765" s="43"/>
      <c r="BE765" s="43"/>
      <c r="BF765" s="43"/>
      <c r="BG765" s="43"/>
      <c r="BH765" s="43"/>
      <c r="BI765" s="13"/>
      <c r="BJ765" s="13"/>
      <c r="BK765" s="13"/>
      <c r="BL765" s="46"/>
      <c r="BM765" s="46"/>
      <c r="BN765" s="46"/>
      <c r="BO765" s="46"/>
      <c r="BP765" s="46"/>
      <c r="BQ765" s="46"/>
      <c r="BR765" s="34"/>
      <c r="BS765" s="34"/>
      <c r="BT765" s="34"/>
      <c r="BU765" s="34"/>
      <c r="BV765" s="34"/>
      <c r="BW765" s="34"/>
      <c r="BX765" s="34"/>
      <c r="BY765" s="4"/>
    </row>
    <row r="766" spans="1:77">
      <c r="A766" s="57"/>
      <c r="B766" s="13"/>
      <c r="C766" s="13"/>
      <c r="D766" s="13"/>
      <c r="E766" s="14"/>
      <c r="F766" s="13"/>
      <c r="G766" s="13"/>
      <c r="H766" s="13"/>
      <c r="I766" s="13"/>
      <c r="J766" s="13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43"/>
      <c r="AY766" s="43"/>
      <c r="AZ766" s="43"/>
      <c r="BA766" s="43"/>
      <c r="BB766" s="43"/>
      <c r="BC766" s="43"/>
      <c r="BD766" s="43"/>
      <c r="BE766" s="43"/>
      <c r="BF766" s="43"/>
      <c r="BG766" s="43"/>
      <c r="BH766" s="43"/>
      <c r="BI766" s="13"/>
      <c r="BJ766" s="13"/>
      <c r="BK766" s="13"/>
      <c r="BL766" s="46"/>
      <c r="BM766" s="46"/>
      <c r="BN766" s="46"/>
      <c r="BO766" s="46"/>
      <c r="BP766" s="46"/>
      <c r="BQ766" s="46"/>
      <c r="BR766" s="34"/>
      <c r="BS766" s="34"/>
      <c r="BT766" s="34"/>
      <c r="BU766" s="34"/>
      <c r="BV766" s="34"/>
      <c r="BW766" s="34"/>
      <c r="BX766" s="34"/>
      <c r="BY766" s="4"/>
    </row>
    <row r="767" spans="1:77">
      <c r="A767" s="57"/>
      <c r="B767" s="13"/>
      <c r="C767" s="13"/>
      <c r="D767" s="13"/>
      <c r="E767" s="14"/>
      <c r="F767" s="13"/>
      <c r="G767" s="13"/>
      <c r="H767" s="13"/>
      <c r="I767" s="13"/>
      <c r="J767" s="13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43"/>
      <c r="AY767" s="43"/>
      <c r="AZ767" s="43"/>
      <c r="BA767" s="43"/>
      <c r="BB767" s="43"/>
      <c r="BC767" s="43"/>
      <c r="BD767" s="43"/>
      <c r="BE767" s="43"/>
      <c r="BF767" s="43"/>
      <c r="BG767" s="43"/>
      <c r="BH767" s="43"/>
      <c r="BI767" s="13"/>
      <c r="BJ767" s="13"/>
      <c r="BK767" s="13"/>
      <c r="BL767" s="46"/>
      <c r="BM767" s="46"/>
      <c r="BN767" s="46"/>
      <c r="BO767" s="46"/>
      <c r="BP767" s="46"/>
      <c r="BQ767" s="46"/>
      <c r="BR767" s="34"/>
      <c r="BS767" s="34"/>
      <c r="BT767" s="34"/>
      <c r="BU767" s="34"/>
      <c r="BV767" s="34"/>
      <c r="BW767" s="34"/>
      <c r="BX767" s="34"/>
      <c r="BY767" s="4"/>
    </row>
    <row r="768" spans="1:77">
      <c r="A768" s="57"/>
      <c r="B768" s="13"/>
      <c r="C768" s="13"/>
      <c r="D768" s="13"/>
      <c r="E768" s="14"/>
      <c r="F768" s="13"/>
      <c r="G768" s="13"/>
      <c r="H768" s="13"/>
      <c r="I768" s="13"/>
      <c r="J768" s="13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43"/>
      <c r="AY768" s="43"/>
      <c r="AZ768" s="43"/>
      <c r="BA768" s="43"/>
      <c r="BB768" s="43"/>
      <c r="BC768" s="43"/>
      <c r="BD768" s="43"/>
      <c r="BE768" s="43"/>
      <c r="BF768" s="43"/>
      <c r="BG768" s="43"/>
      <c r="BH768" s="43"/>
      <c r="BI768" s="13"/>
      <c r="BJ768" s="13"/>
      <c r="BK768" s="13"/>
      <c r="BL768" s="46"/>
      <c r="BM768" s="46"/>
      <c r="BN768" s="46"/>
      <c r="BO768" s="46"/>
      <c r="BP768" s="46"/>
      <c r="BQ768" s="46"/>
      <c r="BR768" s="34"/>
      <c r="BS768" s="34"/>
      <c r="BT768" s="34"/>
      <c r="BU768" s="34"/>
      <c r="BV768" s="34"/>
      <c r="BW768" s="34"/>
      <c r="BX768" s="34"/>
      <c r="BY768" s="4"/>
    </row>
    <row r="769" spans="1:77">
      <c r="A769" s="57"/>
      <c r="B769" s="16"/>
      <c r="C769" s="16"/>
      <c r="D769" s="16"/>
      <c r="E769" s="17"/>
      <c r="F769" s="16"/>
      <c r="G769" s="16"/>
      <c r="H769" s="16"/>
      <c r="I769" s="16"/>
      <c r="J769" s="1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5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16"/>
      <c r="BJ769" s="16"/>
      <c r="BK769" s="16"/>
      <c r="BL769" s="48"/>
      <c r="BM769" s="48"/>
      <c r="BN769" s="48"/>
      <c r="BO769" s="48"/>
      <c r="BP769" s="48"/>
      <c r="BQ769" s="48"/>
      <c r="BR769" s="36"/>
      <c r="BS769" s="36"/>
      <c r="BT769" s="36"/>
      <c r="BU769" s="36"/>
      <c r="BV769" s="36"/>
      <c r="BW769" s="36"/>
      <c r="BX769" s="36"/>
      <c r="BY769" s="6"/>
    </row>
    <row r="770" spans="1:77">
      <c r="A770" s="57"/>
      <c r="B770" s="16"/>
      <c r="C770" s="16"/>
      <c r="D770" s="16"/>
      <c r="E770" s="17"/>
      <c r="F770" s="16"/>
      <c r="G770" s="16"/>
      <c r="H770" s="16"/>
      <c r="I770" s="16"/>
      <c r="J770" s="1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5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16"/>
      <c r="BJ770" s="16"/>
      <c r="BK770" s="16"/>
      <c r="BL770" s="48"/>
      <c r="BM770" s="48"/>
      <c r="BN770" s="48"/>
      <c r="BO770" s="48"/>
      <c r="BP770" s="48"/>
      <c r="BQ770" s="48"/>
      <c r="BR770" s="36"/>
      <c r="BS770" s="36"/>
      <c r="BT770" s="36"/>
      <c r="BU770" s="36"/>
      <c r="BV770" s="36"/>
      <c r="BW770" s="36"/>
      <c r="BX770" s="36"/>
      <c r="BY770" s="6"/>
    </row>
    <row r="771" spans="1:77">
      <c r="A771" s="57"/>
      <c r="B771" s="16"/>
      <c r="C771" s="16"/>
      <c r="D771" s="16"/>
      <c r="E771" s="17"/>
      <c r="F771" s="16"/>
      <c r="G771" s="16"/>
      <c r="H771" s="16"/>
      <c r="I771" s="16"/>
      <c r="J771" s="1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5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16"/>
      <c r="BJ771" s="16"/>
      <c r="BK771" s="16"/>
      <c r="BL771" s="48"/>
      <c r="BM771" s="48"/>
      <c r="BN771" s="48"/>
      <c r="BO771" s="48"/>
      <c r="BP771" s="48"/>
      <c r="BQ771" s="48"/>
      <c r="BR771" s="36"/>
      <c r="BS771" s="36"/>
      <c r="BT771" s="36"/>
      <c r="BU771" s="36"/>
      <c r="BV771" s="36"/>
      <c r="BW771" s="36"/>
      <c r="BX771" s="36"/>
      <c r="BY771" s="6"/>
    </row>
    <row r="772" spans="1:77">
      <c r="A772" s="1" t="s">
        <v>76</v>
      </c>
      <c r="B772" s="13"/>
      <c r="C772" s="13"/>
      <c r="D772" s="13"/>
      <c r="E772" s="14">
        <f>SUM(E715:E771)</f>
        <v>0</v>
      </c>
      <c r="F772" s="13"/>
      <c r="G772" s="13">
        <f t="shared" ref="G772:N772" si="31">SUM(G715:G771)</f>
        <v>0</v>
      </c>
      <c r="H772" s="13">
        <f t="shared" si="31"/>
        <v>0</v>
      </c>
      <c r="I772" s="13">
        <f t="shared" si="31"/>
        <v>0</v>
      </c>
      <c r="J772" s="13">
        <f t="shared" si="31"/>
        <v>0</v>
      </c>
      <c r="K772" s="4">
        <f t="shared" si="31"/>
        <v>0</v>
      </c>
      <c r="L772" s="4">
        <f t="shared" si="31"/>
        <v>0</v>
      </c>
      <c r="M772" s="4">
        <f t="shared" si="31"/>
        <v>0</v>
      </c>
      <c r="N772" s="4">
        <f t="shared" si="31"/>
        <v>0</v>
      </c>
      <c r="O772" s="4"/>
      <c r="P772" s="4">
        <f t="shared" ref="P772:U772" si="32">SUM(P715:P771)</f>
        <v>0</v>
      </c>
      <c r="Q772" s="4">
        <f t="shared" si="32"/>
        <v>0</v>
      </c>
      <c r="R772" s="4">
        <f t="shared" si="32"/>
        <v>0</v>
      </c>
      <c r="S772" s="4">
        <f t="shared" si="32"/>
        <v>0</v>
      </c>
      <c r="T772" s="4">
        <f t="shared" si="32"/>
        <v>0</v>
      </c>
      <c r="U772" s="4">
        <f t="shared" si="32"/>
        <v>0</v>
      </c>
      <c r="V772" s="4"/>
      <c r="W772" s="4">
        <f t="shared" ref="W772:BB772" si="33">SUM(W715:W771)</f>
        <v>0</v>
      </c>
      <c r="X772" s="3">
        <f t="shared" si="33"/>
        <v>0</v>
      </c>
      <c r="Y772" s="39">
        <f t="shared" si="33"/>
        <v>0</v>
      </c>
      <c r="Z772" s="39">
        <f t="shared" si="33"/>
        <v>0</v>
      </c>
      <c r="AA772" s="39">
        <f t="shared" si="33"/>
        <v>0</v>
      </c>
      <c r="AB772" s="39">
        <f t="shared" si="33"/>
        <v>0</v>
      </c>
      <c r="AC772" s="39">
        <f t="shared" si="33"/>
        <v>0</v>
      </c>
      <c r="AD772" s="39">
        <f t="shared" si="33"/>
        <v>0</v>
      </c>
      <c r="AE772" s="39">
        <f t="shared" si="33"/>
        <v>0</v>
      </c>
      <c r="AF772" s="39">
        <f t="shared" si="33"/>
        <v>0</v>
      </c>
      <c r="AG772" s="39">
        <f t="shared" si="33"/>
        <v>0</v>
      </c>
      <c r="AH772" s="39">
        <f t="shared" si="33"/>
        <v>0</v>
      </c>
      <c r="AI772" s="39">
        <f t="shared" si="33"/>
        <v>0</v>
      </c>
      <c r="AJ772" s="39">
        <f t="shared" si="33"/>
        <v>0</v>
      </c>
      <c r="AK772" s="39">
        <f t="shared" si="33"/>
        <v>0</v>
      </c>
      <c r="AL772" s="39">
        <f t="shared" si="33"/>
        <v>0</v>
      </c>
      <c r="AM772" s="28">
        <f t="shared" si="33"/>
        <v>0</v>
      </c>
      <c r="AN772" s="28">
        <f t="shared" si="33"/>
        <v>0</v>
      </c>
      <c r="AO772" s="28">
        <f t="shared" si="33"/>
        <v>0</v>
      </c>
      <c r="AP772" s="28">
        <f t="shared" si="33"/>
        <v>0</v>
      </c>
      <c r="AQ772" s="28">
        <f t="shared" si="33"/>
        <v>0</v>
      </c>
      <c r="AR772" s="28">
        <f t="shared" si="33"/>
        <v>0</v>
      </c>
      <c r="AS772" s="28">
        <f t="shared" si="33"/>
        <v>0</v>
      </c>
      <c r="AT772" s="28">
        <f t="shared" si="33"/>
        <v>0</v>
      </c>
      <c r="AU772" s="28">
        <f t="shared" si="33"/>
        <v>0</v>
      </c>
      <c r="AV772" s="28">
        <f t="shared" si="33"/>
        <v>0</v>
      </c>
      <c r="AW772" s="28">
        <f t="shared" si="33"/>
        <v>0</v>
      </c>
      <c r="AX772" s="43">
        <f t="shared" si="33"/>
        <v>0</v>
      </c>
      <c r="AY772" s="43">
        <f t="shared" si="33"/>
        <v>0</v>
      </c>
      <c r="AZ772" s="43">
        <f t="shared" si="33"/>
        <v>0</v>
      </c>
      <c r="BA772" s="43">
        <f t="shared" si="33"/>
        <v>0</v>
      </c>
      <c r="BB772" s="43">
        <f t="shared" si="33"/>
        <v>0</v>
      </c>
      <c r="BC772" s="43">
        <f t="shared" ref="BC772:BW772" si="34">SUM(BC715:BC771)</f>
        <v>0</v>
      </c>
      <c r="BD772" s="43">
        <f t="shared" si="34"/>
        <v>0</v>
      </c>
      <c r="BE772" s="43">
        <f t="shared" si="34"/>
        <v>0</v>
      </c>
      <c r="BF772" s="43">
        <f t="shared" si="34"/>
        <v>0</v>
      </c>
      <c r="BG772" s="43">
        <f t="shared" si="34"/>
        <v>0</v>
      </c>
      <c r="BH772" s="43">
        <f t="shared" si="34"/>
        <v>0</v>
      </c>
      <c r="BI772" s="13">
        <f t="shared" si="34"/>
        <v>0</v>
      </c>
      <c r="BJ772" s="13">
        <f t="shared" si="34"/>
        <v>0</v>
      </c>
      <c r="BK772" s="13">
        <f t="shared" si="34"/>
        <v>0</v>
      </c>
      <c r="BL772" s="46">
        <f t="shared" si="34"/>
        <v>0</v>
      </c>
      <c r="BM772" s="46">
        <f t="shared" si="34"/>
        <v>0</v>
      </c>
      <c r="BN772" s="46">
        <f t="shared" si="34"/>
        <v>0</v>
      </c>
      <c r="BO772" s="46">
        <f t="shared" si="34"/>
        <v>0</v>
      </c>
      <c r="BP772" s="46">
        <f t="shared" si="34"/>
        <v>0</v>
      </c>
      <c r="BQ772" s="46">
        <f t="shared" si="34"/>
        <v>0</v>
      </c>
      <c r="BR772" s="34">
        <f t="shared" si="34"/>
        <v>0</v>
      </c>
      <c r="BS772" s="34">
        <f t="shared" si="34"/>
        <v>0</v>
      </c>
      <c r="BT772" s="34">
        <f t="shared" si="34"/>
        <v>0</v>
      </c>
      <c r="BU772" s="34">
        <f t="shared" si="34"/>
        <v>0</v>
      </c>
      <c r="BV772" s="34">
        <f t="shared" si="34"/>
        <v>0</v>
      </c>
      <c r="BW772" s="34">
        <f t="shared" si="34"/>
        <v>0</v>
      </c>
      <c r="BX772" s="34"/>
      <c r="BY772" s="4"/>
    </row>
    <row r="773" spans="1:77">
      <c r="B773" s="18"/>
      <c r="C773" s="18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18"/>
      <c r="BJ773" s="18"/>
      <c r="BK773" s="18"/>
      <c r="BL773" s="47"/>
      <c r="BM773" s="47"/>
      <c r="BN773" s="47"/>
      <c r="BO773" s="47"/>
      <c r="BP773" s="47"/>
      <c r="BQ773" s="47"/>
      <c r="BR773" s="35"/>
      <c r="BS773" s="35"/>
      <c r="BT773" s="35"/>
      <c r="BU773" s="35"/>
      <c r="BV773" s="35"/>
      <c r="BW773" s="35"/>
      <c r="BX773" s="35"/>
    </row>
    <row r="774" spans="1:77" ht="159.6">
      <c r="A774" s="2" t="s">
        <v>77</v>
      </c>
      <c r="B774" s="11" t="s">
        <v>1</v>
      </c>
      <c r="C774" s="11" t="s">
        <v>2</v>
      </c>
      <c r="D774" s="11" t="s">
        <v>3</v>
      </c>
      <c r="E774" s="11" t="s">
        <v>4</v>
      </c>
      <c r="F774" s="11" t="s">
        <v>5</v>
      </c>
      <c r="G774" s="11" t="s">
        <v>6</v>
      </c>
      <c r="H774" s="11" t="s">
        <v>7</v>
      </c>
      <c r="I774" s="11" t="s">
        <v>8</v>
      </c>
      <c r="J774" s="11" t="s">
        <v>107</v>
      </c>
      <c r="K774" s="10" t="s">
        <v>10</v>
      </c>
      <c r="L774" s="10" t="s">
        <v>11</v>
      </c>
      <c r="M774" s="10" t="s">
        <v>12</v>
      </c>
      <c r="N774" s="10" t="s">
        <v>13</v>
      </c>
      <c r="O774" s="10" t="s">
        <v>14</v>
      </c>
      <c r="P774" s="10" t="s">
        <v>15</v>
      </c>
      <c r="Q774" s="10" t="s">
        <v>16</v>
      </c>
      <c r="R774" s="10" t="s">
        <v>17</v>
      </c>
      <c r="S774" s="10" t="s">
        <v>18</v>
      </c>
      <c r="T774" s="10" t="s">
        <v>79</v>
      </c>
      <c r="U774" s="10" t="s">
        <v>20</v>
      </c>
      <c r="V774" s="10" t="s">
        <v>21</v>
      </c>
      <c r="W774" s="10" t="s">
        <v>108</v>
      </c>
      <c r="X774" s="9"/>
      <c r="Y774" s="38" t="s">
        <v>24</v>
      </c>
      <c r="Z774" s="38" t="s">
        <v>25</v>
      </c>
      <c r="AA774" s="38" t="s">
        <v>26</v>
      </c>
      <c r="AB774" s="38" t="s">
        <v>109</v>
      </c>
      <c r="AC774" s="38" t="s">
        <v>28</v>
      </c>
      <c r="AD774" s="38" t="s">
        <v>29</v>
      </c>
      <c r="AE774" s="38" t="s">
        <v>30</v>
      </c>
      <c r="AF774" s="38" t="s">
        <v>31</v>
      </c>
      <c r="AG774" s="38" t="s">
        <v>32</v>
      </c>
      <c r="AH774" s="38" t="s">
        <v>33</v>
      </c>
      <c r="AI774" s="38" t="s">
        <v>34</v>
      </c>
      <c r="AJ774" s="38" t="s">
        <v>35</v>
      </c>
      <c r="AK774" s="38" t="s">
        <v>36</v>
      </c>
      <c r="AL774" s="38" t="s">
        <v>37</v>
      </c>
      <c r="AM774" s="27" t="s">
        <v>38</v>
      </c>
      <c r="AN774" s="27" t="s">
        <v>39</v>
      </c>
      <c r="AO774" s="27" t="s">
        <v>40</v>
      </c>
      <c r="AP774" s="27" t="s">
        <v>41</v>
      </c>
      <c r="AQ774" s="27" t="s">
        <v>42</v>
      </c>
      <c r="AR774" s="27" t="s">
        <v>43</v>
      </c>
      <c r="AS774" s="27" t="s">
        <v>44</v>
      </c>
      <c r="AT774" s="27" t="s">
        <v>45</v>
      </c>
      <c r="AU774" s="27" t="s">
        <v>46</v>
      </c>
      <c r="AV774" s="27" t="s">
        <v>47</v>
      </c>
      <c r="AW774" s="27" t="s">
        <v>37</v>
      </c>
      <c r="AX774" s="38" t="s">
        <v>48</v>
      </c>
      <c r="AY774" s="38" t="s">
        <v>49</v>
      </c>
      <c r="AZ774" s="38" t="s">
        <v>50</v>
      </c>
      <c r="BA774" s="38" t="s">
        <v>51</v>
      </c>
      <c r="BB774" s="38" t="s">
        <v>52</v>
      </c>
      <c r="BC774" s="38" t="s">
        <v>53</v>
      </c>
      <c r="BD774" s="38" t="s">
        <v>54</v>
      </c>
      <c r="BE774" s="38" t="s">
        <v>55</v>
      </c>
      <c r="BF774" s="38" t="s">
        <v>56</v>
      </c>
      <c r="BG774" s="38" t="s">
        <v>57</v>
      </c>
      <c r="BH774" s="38" t="s">
        <v>58</v>
      </c>
      <c r="BI774" s="11" t="s">
        <v>28</v>
      </c>
      <c r="BJ774" s="11" t="s">
        <v>59</v>
      </c>
      <c r="BK774" s="11" t="s">
        <v>60</v>
      </c>
      <c r="BL774" s="32" t="s">
        <v>61</v>
      </c>
      <c r="BM774" s="32" t="s">
        <v>62</v>
      </c>
      <c r="BN774" s="32" t="s">
        <v>63</v>
      </c>
      <c r="BO774" s="32" t="s">
        <v>64</v>
      </c>
      <c r="BP774" s="32" t="s">
        <v>65</v>
      </c>
      <c r="BQ774" s="32" t="s">
        <v>66</v>
      </c>
      <c r="BR774" s="33" t="s">
        <v>67</v>
      </c>
      <c r="BS774" s="33" t="s">
        <v>68</v>
      </c>
      <c r="BT774" s="33" t="s">
        <v>69</v>
      </c>
      <c r="BU774" s="33" t="s">
        <v>70</v>
      </c>
      <c r="BV774" s="33" t="s">
        <v>71</v>
      </c>
      <c r="BW774" s="33" t="s">
        <v>82</v>
      </c>
      <c r="BX774" s="33" t="s">
        <v>73</v>
      </c>
      <c r="BY774" s="10" t="s">
        <v>74</v>
      </c>
    </row>
    <row r="775" spans="1:77">
      <c r="A775" s="57" t="s">
        <v>110</v>
      </c>
      <c r="B775" s="56"/>
      <c r="C775" s="16"/>
      <c r="D775" s="16"/>
      <c r="E775" s="17"/>
      <c r="F775" s="16"/>
      <c r="G775" s="16"/>
      <c r="H775" s="16"/>
      <c r="I775" s="16"/>
      <c r="J775" s="1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5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16"/>
      <c r="BJ775" s="16"/>
      <c r="BK775" s="16"/>
      <c r="BL775" s="48"/>
      <c r="BM775" s="48"/>
      <c r="BN775" s="48"/>
      <c r="BO775" s="48"/>
      <c r="BP775" s="48"/>
      <c r="BQ775" s="48"/>
      <c r="BR775" s="36"/>
      <c r="BS775" s="36"/>
      <c r="BT775" s="36"/>
      <c r="BU775" s="36"/>
      <c r="BV775" s="36"/>
      <c r="BW775" s="36"/>
      <c r="BX775" s="36"/>
      <c r="BY775" s="6"/>
    </row>
    <row r="776" spans="1:77">
      <c r="A776" s="57"/>
      <c r="B776" s="19"/>
      <c r="C776" s="16"/>
      <c r="D776" s="16"/>
      <c r="E776" s="17"/>
      <c r="F776" s="16"/>
      <c r="G776" s="16"/>
      <c r="H776" s="16"/>
      <c r="I776" s="16"/>
      <c r="J776" s="1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5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16"/>
      <c r="BJ776" s="16"/>
      <c r="BK776" s="16"/>
      <c r="BL776" s="48"/>
      <c r="BM776" s="48"/>
      <c r="BN776" s="48"/>
      <c r="BO776" s="48"/>
      <c r="BP776" s="48"/>
      <c r="BQ776" s="48"/>
      <c r="BR776" s="36"/>
      <c r="BS776" s="36"/>
      <c r="BT776" s="36"/>
      <c r="BU776" s="36"/>
      <c r="BV776" s="36"/>
      <c r="BW776" s="36"/>
      <c r="BX776" s="36"/>
      <c r="BY776" s="6"/>
    </row>
    <row r="777" spans="1:77">
      <c r="A777" s="57"/>
      <c r="B777" s="19"/>
      <c r="C777" s="16"/>
      <c r="D777" s="16"/>
      <c r="E777" s="17"/>
      <c r="F777" s="16"/>
      <c r="G777" s="16"/>
      <c r="H777" s="16"/>
      <c r="I777" s="16"/>
      <c r="J777" s="1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5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16"/>
      <c r="BJ777" s="16"/>
      <c r="BK777" s="16"/>
      <c r="BL777" s="48"/>
      <c r="BM777" s="48"/>
      <c r="BN777" s="48"/>
      <c r="BO777" s="48"/>
      <c r="BP777" s="48"/>
      <c r="BQ777" s="48"/>
      <c r="BR777" s="36"/>
      <c r="BS777" s="36"/>
      <c r="BT777" s="36"/>
      <c r="BU777" s="36"/>
      <c r="BV777" s="36"/>
      <c r="BW777" s="36"/>
      <c r="BX777" s="36"/>
      <c r="BY777" s="6"/>
    </row>
    <row r="778" spans="1:77">
      <c r="A778" s="57"/>
      <c r="B778" s="16"/>
      <c r="C778" s="16"/>
      <c r="D778" s="16"/>
      <c r="E778" s="17"/>
      <c r="F778" s="16"/>
      <c r="G778" s="16"/>
      <c r="H778" s="16"/>
      <c r="I778" s="16"/>
      <c r="J778" s="1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5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16"/>
      <c r="BJ778" s="16"/>
      <c r="BK778" s="16"/>
      <c r="BL778" s="48"/>
      <c r="BM778" s="48"/>
      <c r="BN778" s="48"/>
      <c r="BO778" s="48"/>
      <c r="BP778" s="48"/>
      <c r="BQ778" s="48"/>
      <c r="BR778" s="36"/>
      <c r="BS778" s="36"/>
      <c r="BT778" s="36"/>
      <c r="BU778" s="36"/>
      <c r="BV778" s="36"/>
      <c r="BW778" s="36"/>
      <c r="BX778" s="36"/>
      <c r="BY778" s="6"/>
    </row>
    <row r="779" spans="1:77">
      <c r="A779" s="57"/>
      <c r="B779" s="16"/>
      <c r="C779" s="16"/>
      <c r="D779" s="16"/>
      <c r="E779" s="17"/>
      <c r="F779" s="16"/>
      <c r="G779" s="16"/>
      <c r="H779" s="16"/>
      <c r="I779" s="16"/>
      <c r="J779" s="1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5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16"/>
      <c r="BJ779" s="16"/>
      <c r="BK779" s="16"/>
      <c r="BL779" s="48"/>
      <c r="BM779" s="48"/>
      <c r="BN779" s="48"/>
      <c r="BO779" s="48"/>
      <c r="BP779" s="48"/>
      <c r="BQ779" s="48"/>
      <c r="BR779" s="36"/>
      <c r="BS779" s="36"/>
      <c r="BT779" s="36"/>
      <c r="BU779" s="36"/>
      <c r="BV779" s="36"/>
      <c r="BW779" s="36"/>
      <c r="BX779" s="36"/>
      <c r="BY779" s="6"/>
    </row>
    <row r="780" spans="1:77">
      <c r="A780" s="57"/>
      <c r="B780" s="16"/>
      <c r="C780" s="16"/>
      <c r="D780" s="16"/>
      <c r="E780" s="17"/>
      <c r="F780" s="16"/>
      <c r="G780" s="16"/>
      <c r="H780" s="16"/>
      <c r="I780" s="16"/>
      <c r="J780" s="1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5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16"/>
      <c r="BJ780" s="16"/>
      <c r="BK780" s="16"/>
      <c r="BL780" s="48"/>
      <c r="BM780" s="48"/>
      <c r="BN780" s="48"/>
      <c r="BO780" s="48"/>
      <c r="BP780" s="48"/>
      <c r="BQ780" s="48"/>
      <c r="BR780" s="36"/>
      <c r="BS780" s="36"/>
      <c r="BT780" s="36"/>
      <c r="BU780" s="36"/>
      <c r="BV780" s="36"/>
      <c r="BW780" s="36"/>
      <c r="BX780" s="36"/>
      <c r="BY780" s="6"/>
    </row>
    <row r="781" spans="1:77">
      <c r="A781" s="57"/>
      <c r="B781" s="16"/>
      <c r="C781" s="16"/>
      <c r="D781" s="16"/>
      <c r="E781" s="17"/>
      <c r="F781" s="16"/>
      <c r="G781" s="16"/>
      <c r="H781" s="16"/>
      <c r="I781" s="16"/>
      <c r="J781" s="1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5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16"/>
      <c r="BJ781" s="16"/>
      <c r="BK781" s="16"/>
      <c r="BL781" s="48"/>
      <c r="BM781" s="48"/>
      <c r="BN781" s="48"/>
      <c r="BO781" s="48"/>
      <c r="BP781" s="48"/>
      <c r="BQ781" s="48"/>
      <c r="BR781" s="36"/>
      <c r="BS781" s="36"/>
      <c r="BT781" s="36"/>
      <c r="BU781" s="36"/>
      <c r="BV781" s="36"/>
      <c r="BW781" s="36"/>
      <c r="BX781" s="36"/>
      <c r="BY781" s="6"/>
    </row>
    <row r="782" spans="1:77">
      <c r="A782" s="57"/>
      <c r="B782" s="56"/>
      <c r="C782" s="16"/>
      <c r="D782" s="16"/>
      <c r="E782" s="17"/>
      <c r="F782" s="16"/>
      <c r="G782" s="16"/>
      <c r="H782" s="16"/>
      <c r="I782" s="16"/>
      <c r="J782" s="1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5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16"/>
      <c r="BJ782" s="16"/>
      <c r="BK782" s="16"/>
      <c r="BL782" s="48"/>
      <c r="BM782" s="48"/>
      <c r="BN782" s="48"/>
      <c r="BO782" s="48"/>
      <c r="BP782" s="48"/>
      <c r="BQ782" s="48"/>
      <c r="BR782" s="36"/>
      <c r="BS782" s="36"/>
      <c r="BT782" s="36"/>
      <c r="BU782" s="36"/>
      <c r="BV782" s="36"/>
      <c r="BW782" s="36"/>
      <c r="BX782" s="36"/>
      <c r="BY782" s="6"/>
    </row>
    <row r="783" spans="1:77">
      <c r="A783" s="57"/>
      <c r="B783" s="19"/>
      <c r="C783" s="16"/>
      <c r="D783" s="16"/>
      <c r="E783" s="17"/>
      <c r="F783" s="16"/>
      <c r="G783" s="16"/>
      <c r="H783" s="16"/>
      <c r="I783" s="16"/>
      <c r="J783" s="1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5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16"/>
      <c r="BJ783" s="16"/>
      <c r="BK783" s="16"/>
      <c r="BL783" s="48"/>
      <c r="BM783" s="48"/>
      <c r="BN783" s="48"/>
      <c r="BO783" s="48"/>
      <c r="BP783" s="48"/>
      <c r="BQ783" s="48"/>
      <c r="BR783" s="36"/>
      <c r="BS783" s="36"/>
      <c r="BT783" s="36"/>
      <c r="BU783" s="36"/>
      <c r="BV783" s="36"/>
      <c r="BW783" s="36"/>
      <c r="BX783" s="36"/>
      <c r="BY783" s="6"/>
    </row>
    <row r="784" spans="1:77">
      <c r="A784" s="57"/>
      <c r="B784" s="19"/>
      <c r="C784" s="16"/>
      <c r="D784" s="16"/>
      <c r="E784" s="17"/>
      <c r="F784" s="16"/>
      <c r="G784" s="16"/>
      <c r="H784" s="16"/>
      <c r="I784" s="16"/>
      <c r="J784" s="1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5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16"/>
      <c r="BJ784" s="16"/>
      <c r="BK784" s="16"/>
      <c r="BL784" s="48"/>
      <c r="BM784" s="48"/>
      <c r="BN784" s="48"/>
      <c r="BO784" s="48"/>
      <c r="BP784" s="48"/>
      <c r="BQ784" s="48"/>
      <c r="BR784" s="36"/>
      <c r="BS784" s="36"/>
      <c r="BT784" s="36"/>
      <c r="BU784" s="36"/>
      <c r="BV784" s="36"/>
      <c r="BW784" s="36"/>
      <c r="BX784" s="36"/>
      <c r="BY784" s="6"/>
    </row>
    <row r="785" spans="1:77">
      <c r="A785" s="57"/>
      <c r="B785" s="19"/>
      <c r="C785" s="16"/>
      <c r="D785" s="16"/>
      <c r="E785" s="17"/>
      <c r="F785" s="16"/>
      <c r="G785" s="16"/>
      <c r="H785" s="16"/>
      <c r="I785" s="16"/>
      <c r="J785" s="1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5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16"/>
      <c r="BJ785" s="16"/>
      <c r="BK785" s="16"/>
      <c r="BL785" s="48"/>
      <c r="BM785" s="48"/>
      <c r="BN785" s="48"/>
      <c r="BO785" s="48"/>
      <c r="BP785" s="48"/>
      <c r="BQ785" s="48"/>
      <c r="BR785" s="36"/>
      <c r="BS785" s="36"/>
      <c r="BT785" s="36"/>
      <c r="BU785" s="36"/>
      <c r="BV785" s="36"/>
      <c r="BW785" s="36"/>
      <c r="BX785" s="36"/>
      <c r="BY785" s="6"/>
    </row>
    <row r="786" spans="1:77">
      <c r="A786" s="57"/>
      <c r="B786" s="16"/>
      <c r="C786" s="16"/>
      <c r="D786" s="16"/>
      <c r="E786" s="17"/>
      <c r="F786" s="16"/>
      <c r="G786" s="16"/>
      <c r="H786" s="16"/>
      <c r="I786" s="16"/>
      <c r="J786" s="1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5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16"/>
      <c r="BJ786" s="16"/>
      <c r="BK786" s="16"/>
      <c r="BL786" s="48"/>
      <c r="BM786" s="48"/>
      <c r="BN786" s="48"/>
      <c r="BO786" s="48"/>
      <c r="BP786" s="48"/>
      <c r="BQ786" s="48"/>
      <c r="BR786" s="36"/>
      <c r="BS786" s="36"/>
      <c r="BT786" s="36"/>
      <c r="BU786" s="36"/>
      <c r="BV786" s="36"/>
      <c r="BW786" s="36"/>
      <c r="BX786" s="36"/>
      <c r="BY786" s="6"/>
    </row>
    <row r="787" spans="1:77">
      <c r="A787" s="57"/>
      <c r="B787" s="16"/>
      <c r="C787" s="16"/>
      <c r="D787" s="16"/>
      <c r="E787" s="17"/>
      <c r="F787" s="16"/>
      <c r="G787" s="16"/>
      <c r="H787" s="16"/>
      <c r="I787" s="16"/>
      <c r="J787" s="1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5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16"/>
      <c r="BJ787" s="16"/>
      <c r="BK787" s="16"/>
      <c r="BL787" s="48"/>
      <c r="BM787" s="48"/>
      <c r="BN787" s="48"/>
      <c r="BO787" s="48"/>
      <c r="BP787" s="48"/>
      <c r="BQ787" s="48"/>
      <c r="BR787" s="36"/>
      <c r="BS787" s="36"/>
      <c r="BT787" s="36"/>
      <c r="BU787" s="36"/>
      <c r="BV787" s="36"/>
      <c r="BW787" s="36"/>
      <c r="BX787" s="36"/>
      <c r="BY787" s="6"/>
    </row>
    <row r="788" spans="1:77">
      <c r="A788" s="57"/>
      <c r="B788" s="16"/>
      <c r="C788" s="16"/>
      <c r="D788" s="16"/>
      <c r="E788" s="17"/>
      <c r="F788" s="16"/>
      <c r="G788" s="16"/>
      <c r="H788" s="16"/>
      <c r="I788" s="16"/>
      <c r="J788" s="1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5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16"/>
      <c r="BJ788" s="16"/>
      <c r="BK788" s="16"/>
      <c r="BL788" s="48"/>
      <c r="BM788" s="48"/>
      <c r="BN788" s="48"/>
      <c r="BO788" s="48"/>
      <c r="BP788" s="48"/>
      <c r="BQ788" s="48"/>
      <c r="BR788" s="36"/>
      <c r="BS788" s="36"/>
      <c r="BT788" s="36"/>
      <c r="BU788" s="36"/>
      <c r="BV788" s="36"/>
      <c r="BW788" s="36"/>
      <c r="BX788" s="36"/>
      <c r="BY788" s="6"/>
    </row>
    <row r="789" spans="1:77">
      <c r="A789" s="57"/>
      <c r="B789" s="16"/>
      <c r="C789" s="16"/>
      <c r="D789" s="16"/>
      <c r="E789" s="17"/>
      <c r="F789" s="16"/>
      <c r="G789" s="16"/>
      <c r="H789" s="16"/>
      <c r="I789" s="16"/>
      <c r="J789" s="1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5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16"/>
      <c r="BJ789" s="16"/>
      <c r="BK789" s="16"/>
      <c r="BL789" s="48"/>
      <c r="BM789" s="48"/>
      <c r="BN789" s="48"/>
      <c r="BO789" s="48"/>
      <c r="BP789" s="48"/>
      <c r="BQ789" s="48"/>
      <c r="BR789" s="36"/>
      <c r="BS789" s="36"/>
      <c r="BT789" s="36"/>
      <c r="BU789" s="36"/>
      <c r="BV789" s="36"/>
      <c r="BW789" s="36"/>
      <c r="BX789" s="36"/>
      <c r="BY789" s="6"/>
    </row>
    <row r="790" spans="1:77">
      <c r="A790" s="57"/>
      <c r="B790" s="19"/>
      <c r="C790" s="16"/>
      <c r="D790" s="16"/>
      <c r="E790" s="17"/>
      <c r="F790" s="16"/>
      <c r="G790" s="16"/>
      <c r="H790" s="16"/>
      <c r="I790" s="16"/>
      <c r="J790" s="1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5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16"/>
      <c r="BJ790" s="16"/>
      <c r="BK790" s="16"/>
      <c r="BL790" s="48"/>
      <c r="BM790" s="48"/>
      <c r="BN790" s="48"/>
      <c r="BO790" s="48"/>
      <c r="BP790" s="48"/>
      <c r="BQ790" s="48"/>
      <c r="BR790" s="36"/>
      <c r="BS790" s="36"/>
      <c r="BT790" s="36"/>
      <c r="BU790" s="36"/>
      <c r="BV790" s="36"/>
      <c r="BW790" s="36"/>
      <c r="BX790" s="36"/>
      <c r="BY790" s="6"/>
    </row>
    <row r="791" spans="1:77">
      <c r="A791" s="57"/>
      <c r="B791" s="16"/>
      <c r="C791" s="16"/>
      <c r="D791" s="16"/>
      <c r="E791" s="17"/>
      <c r="F791" s="16"/>
      <c r="G791" s="16"/>
      <c r="H791" s="16"/>
      <c r="I791" s="16"/>
      <c r="J791" s="1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5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16"/>
      <c r="BJ791" s="16"/>
      <c r="BK791" s="16"/>
      <c r="BL791" s="48"/>
      <c r="BM791" s="48"/>
      <c r="BN791" s="48"/>
      <c r="BO791" s="48"/>
      <c r="BP791" s="48"/>
      <c r="BQ791" s="48"/>
      <c r="BR791" s="36"/>
      <c r="BS791" s="36"/>
      <c r="BT791" s="36"/>
      <c r="BU791" s="36"/>
      <c r="BV791" s="36"/>
      <c r="BW791" s="36"/>
      <c r="BX791" s="36"/>
      <c r="BY791" s="6"/>
    </row>
    <row r="792" spans="1:77">
      <c r="A792" s="57"/>
      <c r="B792" s="16"/>
      <c r="C792" s="16"/>
      <c r="D792" s="16"/>
      <c r="E792" s="17"/>
      <c r="F792" s="16"/>
      <c r="G792" s="16"/>
      <c r="H792" s="16"/>
      <c r="I792" s="16"/>
      <c r="J792" s="1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5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16"/>
      <c r="BJ792" s="16"/>
      <c r="BK792" s="16"/>
      <c r="BL792" s="48"/>
      <c r="BM792" s="48"/>
      <c r="BN792" s="48"/>
      <c r="BO792" s="48"/>
      <c r="BP792" s="48"/>
      <c r="BQ792" s="48"/>
      <c r="BR792" s="36"/>
      <c r="BS792" s="36"/>
      <c r="BT792" s="36"/>
      <c r="BU792" s="36"/>
      <c r="BV792" s="36"/>
      <c r="BW792" s="36"/>
      <c r="BX792" s="36"/>
      <c r="BY792" s="6"/>
    </row>
    <row r="793" spans="1:77">
      <c r="A793" s="57"/>
      <c r="B793" s="19"/>
      <c r="C793" s="16"/>
      <c r="D793" s="16"/>
      <c r="E793" s="17"/>
      <c r="F793" s="16"/>
      <c r="G793" s="16"/>
      <c r="H793" s="16"/>
      <c r="I793" s="16"/>
      <c r="J793" s="1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5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16"/>
      <c r="BJ793" s="16"/>
      <c r="BK793" s="16"/>
      <c r="BL793" s="48"/>
      <c r="BM793" s="48"/>
      <c r="BN793" s="48"/>
      <c r="BO793" s="48"/>
      <c r="BP793" s="48"/>
      <c r="BQ793" s="48"/>
      <c r="BR793" s="36"/>
      <c r="BS793" s="36"/>
      <c r="BT793" s="36"/>
      <c r="BU793" s="36"/>
      <c r="BV793" s="36"/>
      <c r="BW793" s="36"/>
      <c r="BX793" s="36"/>
      <c r="BY793" s="6"/>
    </row>
    <row r="794" spans="1:77">
      <c r="A794" s="57"/>
      <c r="B794" s="19"/>
      <c r="C794" s="16"/>
      <c r="D794" s="16"/>
      <c r="E794" s="17"/>
      <c r="F794" s="16"/>
      <c r="G794" s="16"/>
      <c r="H794" s="16"/>
      <c r="I794" s="16"/>
      <c r="J794" s="1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5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16"/>
      <c r="BJ794" s="16"/>
      <c r="BK794" s="16"/>
      <c r="BL794" s="48"/>
      <c r="BM794" s="48"/>
      <c r="BN794" s="48"/>
      <c r="BO794" s="48"/>
      <c r="BP794" s="48"/>
      <c r="BQ794" s="48"/>
      <c r="BR794" s="36"/>
      <c r="BS794" s="36"/>
      <c r="BT794" s="36"/>
      <c r="BU794" s="36"/>
      <c r="BV794" s="36"/>
      <c r="BW794" s="36"/>
      <c r="BX794" s="36"/>
      <c r="BY794" s="6"/>
    </row>
    <row r="795" spans="1:77">
      <c r="A795" s="57"/>
      <c r="B795" s="16"/>
      <c r="C795" s="16"/>
      <c r="D795" s="16"/>
      <c r="E795" s="17"/>
      <c r="F795" s="16"/>
      <c r="G795" s="16"/>
      <c r="H795" s="16"/>
      <c r="I795" s="16"/>
      <c r="J795" s="1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5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16"/>
      <c r="BJ795" s="16"/>
      <c r="BK795" s="16"/>
      <c r="BL795" s="48"/>
      <c r="BM795" s="48"/>
      <c r="BN795" s="48"/>
      <c r="BO795" s="48"/>
      <c r="BP795" s="48"/>
      <c r="BQ795" s="48"/>
      <c r="BR795" s="36"/>
      <c r="BS795" s="36"/>
      <c r="BT795" s="36"/>
      <c r="BU795" s="36"/>
      <c r="BV795" s="36"/>
      <c r="BW795" s="36"/>
      <c r="BX795" s="36"/>
      <c r="BY795" s="6"/>
    </row>
    <row r="796" spans="1:77">
      <c r="A796" s="57"/>
      <c r="B796" s="16"/>
      <c r="C796" s="16"/>
      <c r="D796" s="16"/>
      <c r="E796" s="17"/>
      <c r="F796" s="16"/>
      <c r="G796" s="16"/>
      <c r="H796" s="16"/>
      <c r="I796" s="16"/>
      <c r="J796" s="1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5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16"/>
      <c r="BJ796" s="16"/>
      <c r="BK796" s="16"/>
      <c r="BL796" s="48"/>
      <c r="BM796" s="48"/>
      <c r="BN796" s="48"/>
      <c r="BO796" s="48"/>
      <c r="BP796" s="48"/>
      <c r="BQ796" s="48"/>
      <c r="BR796" s="36"/>
      <c r="BS796" s="36"/>
      <c r="BT796" s="36"/>
      <c r="BU796" s="36"/>
      <c r="BV796" s="36"/>
      <c r="BW796" s="36"/>
      <c r="BX796" s="36"/>
      <c r="BY796" s="6"/>
    </row>
    <row r="797" spans="1:77">
      <c r="A797" s="57"/>
      <c r="B797" s="16"/>
      <c r="C797" s="16"/>
      <c r="D797" s="16"/>
      <c r="E797" s="17"/>
      <c r="F797" s="16"/>
      <c r="G797" s="16"/>
      <c r="H797" s="16"/>
      <c r="I797" s="16"/>
      <c r="J797" s="1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5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16"/>
      <c r="BJ797" s="16"/>
      <c r="BK797" s="16"/>
      <c r="BL797" s="48"/>
      <c r="BM797" s="48"/>
      <c r="BN797" s="48"/>
      <c r="BO797" s="48"/>
      <c r="BP797" s="48"/>
      <c r="BQ797" s="48"/>
      <c r="BR797" s="36"/>
      <c r="BS797" s="36"/>
      <c r="BT797" s="36"/>
      <c r="BU797" s="36"/>
      <c r="BV797" s="36"/>
      <c r="BW797" s="36"/>
      <c r="BX797" s="36"/>
      <c r="BY797" s="6"/>
    </row>
    <row r="798" spans="1:77">
      <c r="A798" s="57"/>
      <c r="B798" s="12"/>
      <c r="C798" s="13"/>
      <c r="D798" s="13"/>
      <c r="E798" s="14"/>
      <c r="F798" s="13"/>
      <c r="G798" s="13"/>
      <c r="H798" s="13"/>
      <c r="I798" s="13"/>
      <c r="J798" s="13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13"/>
      <c r="BJ798" s="13"/>
      <c r="BK798" s="13"/>
      <c r="BL798" s="46"/>
      <c r="BM798" s="46"/>
      <c r="BN798" s="46"/>
      <c r="BO798" s="46"/>
      <c r="BP798" s="46"/>
      <c r="BQ798" s="46"/>
      <c r="BR798" s="34"/>
      <c r="BS798" s="34"/>
      <c r="BT798" s="34"/>
      <c r="BU798" s="34"/>
      <c r="BV798" s="34"/>
      <c r="BW798" s="34"/>
      <c r="BX798" s="34"/>
      <c r="BY798" s="4"/>
    </row>
    <row r="799" spans="1:77">
      <c r="A799" s="57"/>
      <c r="B799" s="12"/>
      <c r="C799" s="13"/>
      <c r="D799" s="13"/>
      <c r="E799" s="14"/>
      <c r="F799" s="13"/>
      <c r="G799" s="13"/>
      <c r="H799" s="13"/>
      <c r="I799" s="13"/>
      <c r="J799" s="13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13"/>
      <c r="BJ799" s="13"/>
      <c r="BK799" s="13"/>
      <c r="BL799" s="46"/>
      <c r="BM799" s="46"/>
      <c r="BN799" s="46"/>
      <c r="BO799" s="46"/>
      <c r="BP799" s="46"/>
      <c r="BQ799" s="46"/>
      <c r="BR799" s="34"/>
      <c r="BS799" s="34"/>
      <c r="BT799" s="34"/>
      <c r="BU799" s="34"/>
      <c r="BV799" s="34"/>
      <c r="BW799" s="34"/>
      <c r="BX799" s="34"/>
      <c r="BY799" s="4"/>
    </row>
    <row r="800" spans="1:77">
      <c r="A800" s="57"/>
      <c r="B800" s="15"/>
      <c r="C800" s="13"/>
      <c r="D800" s="13"/>
      <c r="E800" s="14"/>
      <c r="F800" s="13"/>
      <c r="G800" s="13"/>
      <c r="H800" s="13"/>
      <c r="I800" s="13"/>
      <c r="J800" s="13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13"/>
      <c r="BJ800" s="13"/>
      <c r="BK800" s="13"/>
      <c r="BL800" s="46"/>
      <c r="BM800" s="46"/>
      <c r="BN800" s="46"/>
      <c r="BO800" s="46"/>
      <c r="BP800" s="46"/>
      <c r="BQ800" s="46"/>
      <c r="BR800" s="34"/>
      <c r="BS800" s="34"/>
      <c r="BT800" s="34"/>
      <c r="BU800" s="34"/>
      <c r="BV800" s="34"/>
      <c r="BW800" s="34"/>
      <c r="BX800" s="34"/>
      <c r="BY800" s="4"/>
    </row>
    <row r="801" spans="1:77">
      <c r="A801" s="57"/>
      <c r="B801" s="12"/>
      <c r="C801" s="13"/>
      <c r="D801" s="13"/>
      <c r="E801" s="14"/>
      <c r="F801" s="13"/>
      <c r="G801" s="13"/>
      <c r="H801" s="13"/>
      <c r="I801" s="13"/>
      <c r="J801" s="13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13"/>
      <c r="BJ801" s="13"/>
      <c r="BK801" s="13"/>
      <c r="BL801" s="46"/>
      <c r="BM801" s="46"/>
      <c r="BN801" s="46"/>
      <c r="BO801" s="46"/>
      <c r="BP801" s="46"/>
      <c r="BQ801" s="46"/>
      <c r="BR801" s="34"/>
      <c r="BS801" s="34"/>
      <c r="BT801" s="34"/>
      <c r="BU801" s="34"/>
      <c r="BV801" s="34"/>
      <c r="BW801" s="34"/>
      <c r="BX801" s="34"/>
      <c r="BY801" s="4"/>
    </row>
    <row r="802" spans="1:77">
      <c r="A802" s="57"/>
      <c r="B802" s="12"/>
      <c r="C802" s="13"/>
      <c r="D802" s="13"/>
      <c r="E802" s="14"/>
      <c r="F802" s="13"/>
      <c r="G802" s="13"/>
      <c r="H802" s="13"/>
      <c r="I802" s="13"/>
      <c r="J802" s="13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13"/>
      <c r="BJ802" s="13"/>
      <c r="BK802" s="13"/>
      <c r="BL802" s="46"/>
      <c r="BM802" s="46"/>
      <c r="BN802" s="46"/>
      <c r="BO802" s="46"/>
      <c r="BP802" s="46"/>
      <c r="BQ802" s="46"/>
      <c r="BR802" s="34"/>
      <c r="BS802" s="34"/>
      <c r="BT802" s="34"/>
      <c r="BU802" s="34"/>
      <c r="BV802" s="34"/>
      <c r="BW802" s="34"/>
      <c r="BX802" s="34"/>
      <c r="BY802" s="4"/>
    </row>
    <row r="803" spans="1:77">
      <c r="A803" s="57"/>
      <c r="B803" s="12"/>
      <c r="C803" s="13"/>
      <c r="D803" s="13"/>
      <c r="E803" s="14"/>
      <c r="F803" s="13"/>
      <c r="G803" s="13"/>
      <c r="H803" s="13"/>
      <c r="I803" s="13"/>
      <c r="J803" s="13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13"/>
      <c r="BJ803" s="13"/>
      <c r="BK803" s="13"/>
      <c r="BL803" s="46"/>
      <c r="BM803" s="46"/>
      <c r="BN803" s="46"/>
      <c r="BO803" s="46"/>
      <c r="BP803" s="46"/>
      <c r="BQ803" s="46"/>
      <c r="BR803" s="34"/>
      <c r="BS803" s="34"/>
      <c r="BT803" s="34"/>
      <c r="BU803" s="34"/>
      <c r="BV803" s="34"/>
      <c r="BW803" s="34"/>
      <c r="BX803" s="34"/>
      <c r="BY803" s="4"/>
    </row>
    <row r="804" spans="1:77">
      <c r="A804" s="57"/>
      <c r="B804" s="12"/>
      <c r="C804" s="13"/>
      <c r="D804" s="13"/>
      <c r="E804" s="14"/>
      <c r="F804" s="13"/>
      <c r="G804" s="13"/>
      <c r="H804" s="13"/>
      <c r="I804" s="13"/>
      <c r="J804" s="13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13"/>
      <c r="BJ804" s="13"/>
      <c r="BK804" s="13"/>
      <c r="BL804" s="46"/>
      <c r="BM804" s="46"/>
      <c r="BN804" s="46"/>
      <c r="BO804" s="46"/>
      <c r="BP804" s="46"/>
      <c r="BQ804" s="46"/>
      <c r="BR804" s="34"/>
      <c r="BS804" s="34"/>
      <c r="BT804" s="34"/>
      <c r="BU804" s="34"/>
      <c r="BV804" s="34"/>
      <c r="BW804" s="34"/>
      <c r="BX804" s="34"/>
      <c r="BY804" s="4"/>
    </row>
    <row r="805" spans="1:77">
      <c r="A805" s="57"/>
      <c r="B805" s="12"/>
      <c r="C805" s="13"/>
      <c r="D805" s="13"/>
      <c r="E805" s="14"/>
      <c r="F805" s="13"/>
      <c r="G805" s="13"/>
      <c r="H805" s="13"/>
      <c r="I805" s="13"/>
      <c r="J805" s="13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13"/>
      <c r="BJ805" s="13"/>
      <c r="BK805" s="13"/>
      <c r="BL805" s="46"/>
      <c r="BM805" s="46"/>
      <c r="BN805" s="46"/>
      <c r="BO805" s="46"/>
      <c r="BP805" s="46"/>
      <c r="BQ805" s="46"/>
      <c r="BR805" s="34"/>
      <c r="BS805" s="34"/>
      <c r="BT805" s="34"/>
      <c r="BU805" s="34"/>
      <c r="BV805" s="34"/>
      <c r="BW805" s="34"/>
      <c r="BX805" s="34"/>
      <c r="BY805" s="4"/>
    </row>
    <row r="806" spans="1:77">
      <c r="A806" s="57"/>
      <c r="B806" s="12"/>
      <c r="C806" s="13"/>
      <c r="D806" s="13"/>
      <c r="E806" s="14"/>
      <c r="F806" s="13"/>
      <c r="G806" s="13"/>
      <c r="H806" s="13"/>
      <c r="I806" s="13"/>
      <c r="J806" s="13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13"/>
      <c r="BJ806" s="13"/>
      <c r="BK806" s="13"/>
      <c r="BL806" s="46"/>
      <c r="BM806" s="46"/>
      <c r="BN806" s="46"/>
      <c r="BO806" s="46"/>
      <c r="BP806" s="46"/>
      <c r="BQ806" s="46"/>
      <c r="BR806" s="34"/>
      <c r="BS806" s="34"/>
      <c r="BT806" s="34"/>
      <c r="BU806" s="34"/>
      <c r="BV806" s="34"/>
      <c r="BW806" s="34"/>
      <c r="BX806" s="34"/>
      <c r="BY806" s="4"/>
    </row>
    <row r="807" spans="1:77">
      <c r="A807" s="57"/>
      <c r="B807" s="12"/>
      <c r="C807" s="13"/>
      <c r="D807" s="13"/>
      <c r="E807" s="14"/>
      <c r="F807" s="13"/>
      <c r="G807" s="13"/>
      <c r="H807" s="13"/>
      <c r="I807" s="13"/>
      <c r="J807" s="13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13"/>
      <c r="BJ807" s="13"/>
      <c r="BK807" s="13"/>
      <c r="BL807" s="46"/>
      <c r="BM807" s="46"/>
      <c r="BN807" s="46"/>
      <c r="BO807" s="46"/>
      <c r="BP807" s="46"/>
      <c r="BQ807" s="46"/>
      <c r="BR807" s="34"/>
      <c r="BS807" s="34"/>
      <c r="BT807" s="34"/>
      <c r="BU807" s="34"/>
      <c r="BV807" s="34"/>
      <c r="BW807" s="34"/>
      <c r="BX807" s="34"/>
      <c r="BY807" s="4"/>
    </row>
    <row r="808" spans="1:77">
      <c r="A808" s="57"/>
      <c r="B808" s="12"/>
      <c r="C808" s="13"/>
      <c r="D808" s="13"/>
      <c r="E808" s="14"/>
      <c r="F808" s="13"/>
      <c r="G808" s="13"/>
      <c r="H808" s="13"/>
      <c r="I808" s="13"/>
      <c r="J808" s="13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13"/>
      <c r="BJ808" s="13"/>
      <c r="BK808" s="13"/>
      <c r="BL808" s="46"/>
      <c r="BM808" s="46"/>
      <c r="BN808" s="46"/>
      <c r="BO808" s="46"/>
      <c r="BP808" s="46"/>
      <c r="BQ808" s="46"/>
      <c r="BR808" s="34"/>
      <c r="BS808" s="34"/>
      <c r="BT808" s="34"/>
      <c r="BU808" s="34"/>
      <c r="BV808" s="34"/>
      <c r="BW808" s="34"/>
      <c r="BX808" s="34"/>
      <c r="BY808" s="4"/>
    </row>
    <row r="809" spans="1:77">
      <c r="A809" s="57"/>
      <c r="B809" s="12"/>
      <c r="C809" s="13"/>
      <c r="D809" s="13"/>
      <c r="E809" s="14"/>
      <c r="F809" s="13"/>
      <c r="G809" s="13"/>
      <c r="H809" s="13"/>
      <c r="I809" s="13"/>
      <c r="J809" s="13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13"/>
      <c r="BJ809" s="13"/>
      <c r="BK809" s="13"/>
      <c r="BL809" s="46"/>
      <c r="BM809" s="46"/>
      <c r="BN809" s="46"/>
      <c r="BO809" s="46"/>
      <c r="BP809" s="46"/>
      <c r="BQ809" s="46"/>
      <c r="BR809" s="34"/>
      <c r="BS809" s="34"/>
      <c r="BT809" s="34"/>
      <c r="BU809" s="34"/>
      <c r="BV809" s="34"/>
      <c r="BW809" s="34"/>
      <c r="BX809" s="34"/>
      <c r="BY809" s="4"/>
    </row>
    <row r="810" spans="1:77">
      <c r="A810" s="57"/>
      <c r="B810" s="12"/>
      <c r="C810" s="13"/>
      <c r="D810" s="13"/>
      <c r="E810" s="14"/>
      <c r="F810" s="13"/>
      <c r="G810" s="13"/>
      <c r="H810" s="13"/>
      <c r="I810" s="13"/>
      <c r="J810" s="13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13"/>
      <c r="BJ810" s="13"/>
      <c r="BK810" s="13"/>
      <c r="BL810" s="46"/>
      <c r="BM810" s="46"/>
      <c r="BN810" s="46"/>
      <c r="BO810" s="46"/>
      <c r="BP810" s="46"/>
      <c r="BQ810" s="46"/>
      <c r="BR810" s="34"/>
      <c r="BS810" s="34"/>
      <c r="BT810" s="34"/>
      <c r="BU810" s="34"/>
      <c r="BV810" s="34"/>
      <c r="BW810" s="34"/>
      <c r="BX810" s="34"/>
      <c r="BY810" s="4"/>
    </row>
    <row r="811" spans="1:77">
      <c r="A811" s="57"/>
      <c r="B811" s="12"/>
      <c r="C811" s="13"/>
      <c r="D811" s="13"/>
      <c r="E811" s="14"/>
      <c r="F811" s="13"/>
      <c r="G811" s="13"/>
      <c r="H811" s="13"/>
      <c r="I811" s="13"/>
      <c r="J811" s="13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13"/>
      <c r="BJ811" s="13"/>
      <c r="BK811" s="13"/>
      <c r="BL811" s="46"/>
      <c r="BM811" s="46"/>
      <c r="BN811" s="46"/>
      <c r="BO811" s="46"/>
      <c r="BP811" s="46"/>
      <c r="BQ811" s="46"/>
      <c r="BR811" s="34"/>
      <c r="BS811" s="34"/>
      <c r="BT811" s="34"/>
      <c r="BU811" s="34"/>
      <c r="BV811" s="34"/>
      <c r="BW811" s="34"/>
      <c r="BX811" s="34"/>
      <c r="BY811" s="4"/>
    </row>
    <row r="812" spans="1:77">
      <c r="A812" s="57"/>
      <c r="B812" s="12"/>
      <c r="C812" s="13"/>
      <c r="D812" s="13"/>
      <c r="E812" s="14"/>
      <c r="F812" s="13"/>
      <c r="G812" s="13"/>
      <c r="H812" s="13"/>
      <c r="I812" s="13"/>
      <c r="J812" s="13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13"/>
      <c r="BJ812" s="13"/>
      <c r="BK812" s="13"/>
      <c r="BL812" s="46"/>
      <c r="BM812" s="46"/>
      <c r="BN812" s="46"/>
      <c r="BO812" s="46"/>
      <c r="BP812" s="46"/>
      <c r="BQ812" s="46"/>
      <c r="BR812" s="34"/>
      <c r="BS812" s="34"/>
      <c r="BT812" s="34"/>
      <c r="BU812" s="34"/>
      <c r="BV812" s="34"/>
      <c r="BW812" s="34"/>
      <c r="BX812" s="34"/>
      <c r="BY812" s="4"/>
    </row>
    <row r="813" spans="1:77">
      <c r="A813" s="57"/>
      <c r="B813" s="12"/>
      <c r="C813" s="13"/>
      <c r="D813" s="13"/>
      <c r="E813" s="14"/>
      <c r="F813" s="13"/>
      <c r="G813" s="13"/>
      <c r="H813" s="13"/>
      <c r="I813" s="13"/>
      <c r="J813" s="13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13"/>
      <c r="BJ813" s="13"/>
      <c r="BK813" s="13"/>
      <c r="BL813" s="46"/>
      <c r="BM813" s="46"/>
      <c r="BN813" s="46"/>
      <c r="BO813" s="46"/>
      <c r="BP813" s="46"/>
      <c r="BQ813" s="46"/>
      <c r="BR813" s="34"/>
      <c r="BS813" s="34"/>
      <c r="BT813" s="34"/>
      <c r="BU813" s="34"/>
      <c r="BV813" s="34"/>
      <c r="BW813" s="34"/>
      <c r="BX813" s="34"/>
      <c r="BY813" s="4"/>
    </row>
    <row r="814" spans="1:77">
      <c r="A814" s="57"/>
      <c r="B814" s="12"/>
      <c r="C814" s="13"/>
      <c r="D814" s="13"/>
      <c r="E814" s="14"/>
      <c r="F814" s="13"/>
      <c r="G814" s="13"/>
      <c r="H814" s="13"/>
      <c r="I814" s="13"/>
      <c r="J814" s="13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13"/>
      <c r="BJ814" s="13"/>
      <c r="BK814" s="13"/>
      <c r="BL814" s="46"/>
      <c r="BM814" s="46"/>
      <c r="BN814" s="46"/>
      <c r="BO814" s="46"/>
      <c r="BP814" s="46"/>
      <c r="BQ814" s="46"/>
      <c r="BR814" s="34"/>
      <c r="BS814" s="34"/>
      <c r="BT814" s="34"/>
      <c r="BU814" s="34"/>
      <c r="BV814" s="34"/>
      <c r="BW814" s="34"/>
      <c r="BX814" s="34"/>
      <c r="BY814" s="4"/>
    </row>
    <row r="815" spans="1:77">
      <c r="A815" s="57"/>
      <c r="B815" s="12"/>
      <c r="C815" s="13"/>
      <c r="D815" s="13"/>
      <c r="E815" s="14"/>
      <c r="F815" s="13"/>
      <c r="G815" s="13"/>
      <c r="H815" s="13"/>
      <c r="I815" s="13"/>
      <c r="J815" s="13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13"/>
      <c r="BJ815" s="13"/>
      <c r="BK815" s="13"/>
      <c r="BL815" s="46"/>
      <c r="BM815" s="46"/>
      <c r="BN815" s="46"/>
      <c r="BO815" s="46"/>
      <c r="BP815" s="46"/>
      <c r="BQ815" s="46"/>
      <c r="BR815" s="34"/>
      <c r="BS815" s="34"/>
      <c r="BT815" s="34"/>
      <c r="BU815" s="34"/>
      <c r="BV815" s="34"/>
      <c r="BW815" s="34"/>
      <c r="BX815" s="34"/>
      <c r="BY815" s="4"/>
    </row>
    <row r="816" spans="1:77">
      <c r="A816" s="57"/>
      <c r="B816" s="12"/>
      <c r="C816" s="13"/>
      <c r="D816" s="13"/>
      <c r="E816" s="14"/>
      <c r="F816" s="13"/>
      <c r="G816" s="13"/>
      <c r="H816" s="13"/>
      <c r="I816" s="13"/>
      <c r="J816" s="13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13"/>
      <c r="BJ816" s="13"/>
      <c r="BK816" s="13"/>
      <c r="BL816" s="46"/>
      <c r="BM816" s="46"/>
      <c r="BN816" s="46"/>
      <c r="BO816" s="46"/>
      <c r="BP816" s="46"/>
      <c r="BQ816" s="46"/>
      <c r="BR816" s="34"/>
      <c r="BS816" s="34"/>
      <c r="BT816" s="34"/>
      <c r="BU816" s="34"/>
      <c r="BV816" s="34"/>
      <c r="BW816" s="34"/>
      <c r="BX816" s="34"/>
      <c r="BY816" s="4"/>
    </row>
    <row r="817" spans="1:77">
      <c r="A817" s="57"/>
      <c r="B817" s="12"/>
      <c r="C817" s="13"/>
      <c r="D817" s="13"/>
      <c r="E817" s="14"/>
      <c r="F817" s="13"/>
      <c r="G817" s="13"/>
      <c r="H817" s="13"/>
      <c r="I817" s="13"/>
      <c r="J817" s="13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13"/>
      <c r="BJ817" s="13"/>
      <c r="BK817" s="13"/>
      <c r="BL817" s="46"/>
      <c r="BM817" s="46"/>
      <c r="BN817" s="46"/>
      <c r="BO817" s="46"/>
      <c r="BP817" s="46"/>
      <c r="BQ817" s="46"/>
      <c r="BR817" s="34"/>
      <c r="BS817" s="34"/>
      <c r="BT817" s="34"/>
      <c r="BU817" s="34"/>
      <c r="BV817" s="34"/>
      <c r="BW817" s="34"/>
      <c r="BX817" s="34"/>
      <c r="BY817" s="4"/>
    </row>
    <row r="818" spans="1:77">
      <c r="A818" s="57"/>
      <c r="B818" s="12"/>
      <c r="C818" s="13"/>
      <c r="D818" s="13"/>
      <c r="E818" s="14"/>
      <c r="F818" s="13"/>
      <c r="G818" s="13"/>
      <c r="H818" s="13"/>
      <c r="I818" s="13"/>
      <c r="J818" s="13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13"/>
      <c r="BJ818" s="13"/>
      <c r="BK818" s="13"/>
      <c r="BL818" s="46"/>
      <c r="BM818" s="46"/>
      <c r="BN818" s="46"/>
      <c r="BO818" s="46"/>
      <c r="BP818" s="46"/>
      <c r="BQ818" s="46"/>
      <c r="BR818" s="34"/>
      <c r="BS818" s="34"/>
      <c r="BT818" s="34"/>
      <c r="BU818" s="34"/>
      <c r="BV818" s="34"/>
      <c r="BW818" s="34"/>
      <c r="BX818" s="34"/>
      <c r="BY818" s="4"/>
    </row>
    <row r="819" spans="1:77">
      <c r="A819" s="57"/>
      <c r="B819" s="12"/>
      <c r="C819" s="13"/>
      <c r="D819" s="13"/>
      <c r="E819" s="14"/>
      <c r="F819" s="13"/>
      <c r="G819" s="13"/>
      <c r="H819" s="13"/>
      <c r="I819" s="13"/>
      <c r="J819" s="13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13"/>
      <c r="BJ819" s="13"/>
      <c r="BK819" s="13"/>
      <c r="BL819" s="46"/>
      <c r="BM819" s="46"/>
      <c r="BN819" s="46"/>
      <c r="BO819" s="46"/>
      <c r="BP819" s="46"/>
      <c r="BQ819" s="46"/>
      <c r="BR819" s="34"/>
      <c r="BS819" s="34"/>
      <c r="BT819" s="34"/>
      <c r="BU819" s="34"/>
      <c r="BV819" s="34"/>
      <c r="BW819" s="34"/>
      <c r="BX819" s="34"/>
      <c r="BY819" s="4"/>
    </row>
    <row r="820" spans="1:77">
      <c r="A820" s="57"/>
      <c r="B820" s="15"/>
      <c r="C820" s="13"/>
      <c r="D820" s="13"/>
      <c r="E820" s="14"/>
      <c r="F820" s="13"/>
      <c r="G820" s="13"/>
      <c r="H820" s="13"/>
      <c r="I820" s="13"/>
      <c r="J820" s="13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13"/>
      <c r="BJ820" s="13"/>
      <c r="BK820" s="13"/>
      <c r="BL820" s="46"/>
      <c r="BM820" s="46"/>
      <c r="BN820" s="46"/>
      <c r="BO820" s="46"/>
      <c r="BP820" s="46"/>
      <c r="BQ820" s="46"/>
      <c r="BR820" s="34"/>
      <c r="BS820" s="34"/>
      <c r="BT820" s="34"/>
      <c r="BU820" s="34"/>
      <c r="BV820" s="34"/>
      <c r="BW820" s="34"/>
      <c r="BX820" s="34"/>
      <c r="BY820" s="4"/>
    </row>
    <row r="821" spans="1:77">
      <c r="A821" s="57"/>
      <c r="B821" s="12"/>
      <c r="C821" s="13"/>
      <c r="D821" s="13"/>
      <c r="E821" s="14"/>
      <c r="F821" s="13"/>
      <c r="G821" s="13"/>
      <c r="H821" s="13"/>
      <c r="I821" s="13"/>
      <c r="J821" s="13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13"/>
      <c r="BJ821" s="13"/>
      <c r="BK821" s="13"/>
      <c r="BL821" s="46"/>
      <c r="BM821" s="46"/>
      <c r="BN821" s="46"/>
      <c r="BO821" s="46"/>
      <c r="BP821" s="46"/>
      <c r="BQ821" s="46"/>
      <c r="BR821" s="34"/>
      <c r="BS821" s="34"/>
      <c r="BT821" s="34"/>
      <c r="BU821" s="34"/>
      <c r="BV821" s="34"/>
      <c r="BW821" s="34"/>
      <c r="BX821" s="34"/>
      <c r="BY821" s="4"/>
    </row>
    <row r="822" spans="1:77">
      <c r="A822" s="57"/>
      <c r="B822" s="12"/>
      <c r="C822" s="13"/>
      <c r="D822" s="13"/>
      <c r="E822" s="14"/>
      <c r="F822" s="13"/>
      <c r="G822" s="13"/>
      <c r="H822" s="13"/>
      <c r="I822" s="13"/>
      <c r="J822" s="13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13"/>
      <c r="BJ822" s="13"/>
      <c r="BK822" s="13"/>
      <c r="BL822" s="46"/>
      <c r="BM822" s="46"/>
      <c r="BN822" s="46"/>
      <c r="BO822" s="46"/>
      <c r="BP822" s="46"/>
      <c r="BQ822" s="46"/>
      <c r="BR822" s="34"/>
      <c r="BS822" s="34"/>
      <c r="BT822" s="34"/>
      <c r="BU822" s="34"/>
      <c r="BV822" s="34"/>
      <c r="BW822" s="34"/>
      <c r="BX822" s="34"/>
      <c r="BY822" s="4"/>
    </row>
    <row r="823" spans="1:77">
      <c r="A823" s="57"/>
      <c r="B823" s="12"/>
      <c r="C823" s="13"/>
      <c r="D823" s="13"/>
      <c r="E823" s="14"/>
      <c r="F823" s="13"/>
      <c r="G823" s="13"/>
      <c r="H823" s="13"/>
      <c r="I823" s="13"/>
      <c r="J823" s="13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13"/>
      <c r="BJ823" s="13"/>
      <c r="BK823" s="13"/>
      <c r="BL823" s="46"/>
      <c r="BM823" s="46"/>
      <c r="BN823" s="46"/>
      <c r="BO823" s="46"/>
      <c r="BP823" s="46"/>
      <c r="BQ823" s="46"/>
      <c r="BR823" s="34"/>
      <c r="BS823" s="34"/>
      <c r="BT823" s="34"/>
      <c r="BU823" s="34"/>
      <c r="BV823" s="34"/>
      <c r="BW823" s="34"/>
      <c r="BX823" s="34"/>
      <c r="BY823" s="4"/>
    </row>
    <row r="824" spans="1:77">
      <c r="A824" s="57"/>
      <c r="B824" s="12"/>
      <c r="C824" s="13"/>
      <c r="D824" s="13"/>
      <c r="E824" s="14"/>
      <c r="F824" s="13"/>
      <c r="G824" s="13"/>
      <c r="H824" s="13"/>
      <c r="I824" s="13"/>
      <c r="J824" s="13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13"/>
      <c r="BJ824" s="13"/>
      <c r="BK824" s="13"/>
      <c r="BL824" s="46"/>
      <c r="BM824" s="46"/>
      <c r="BN824" s="46"/>
      <c r="BO824" s="46"/>
      <c r="BP824" s="46"/>
      <c r="BQ824" s="46"/>
      <c r="BR824" s="34"/>
      <c r="BS824" s="34"/>
      <c r="BT824" s="34"/>
      <c r="BU824" s="34"/>
      <c r="BV824" s="34"/>
      <c r="BW824" s="34"/>
      <c r="BX824" s="34"/>
      <c r="BY824" s="4"/>
    </row>
    <row r="825" spans="1:77">
      <c r="A825" s="57"/>
      <c r="B825" s="12"/>
      <c r="C825" s="13"/>
      <c r="D825" s="13"/>
      <c r="E825" s="14"/>
      <c r="F825" s="13"/>
      <c r="G825" s="13"/>
      <c r="H825" s="13"/>
      <c r="I825" s="13"/>
      <c r="J825" s="13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13"/>
      <c r="BJ825" s="13"/>
      <c r="BK825" s="13"/>
      <c r="BL825" s="46"/>
      <c r="BM825" s="46"/>
      <c r="BN825" s="46"/>
      <c r="BO825" s="46"/>
      <c r="BP825" s="46"/>
      <c r="BQ825" s="46"/>
      <c r="BR825" s="34"/>
      <c r="BS825" s="34"/>
      <c r="BT825" s="34"/>
      <c r="BU825" s="34"/>
      <c r="BV825" s="34"/>
      <c r="BW825" s="34"/>
      <c r="BX825" s="34"/>
      <c r="BY825" s="4"/>
    </row>
    <row r="826" spans="1:77">
      <c r="A826" s="57"/>
      <c r="B826" s="12"/>
      <c r="C826" s="13"/>
      <c r="D826" s="13"/>
      <c r="E826" s="14"/>
      <c r="F826" s="13"/>
      <c r="G826" s="13"/>
      <c r="H826" s="13"/>
      <c r="I826" s="13"/>
      <c r="J826" s="13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13"/>
      <c r="BJ826" s="13"/>
      <c r="BK826" s="13"/>
      <c r="BL826" s="46"/>
      <c r="BM826" s="46"/>
      <c r="BN826" s="46"/>
      <c r="BO826" s="46"/>
      <c r="BP826" s="46"/>
      <c r="BQ826" s="46"/>
      <c r="BR826" s="34"/>
      <c r="BS826" s="34"/>
      <c r="BT826" s="34"/>
      <c r="BU826" s="34"/>
      <c r="BV826" s="34"/>
      <c r="BW826" s="34"/>
      <c r="BX826" s="34"/>
      <c r="BY826" s="4"/>
    </row>
    <row r="827" spans="1:77">
      <c r="A827" s="57"/>
      <c r="B827" s="12"/>
      <c r="C827" s="13"/>
      <c r="D827" s="13"/>
      <c r="E827" s="14"/>
      <c r="F827" s="13"/>
      <c r="G827" s="13"/>
      <c r="H827" s="13"/>
      <c r="I827" s="13"/>
      <c r="J827" s="13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13"/>
      <c r="BJ827" s="13"/>
      <c r="BK827" s="13"/>
      <c r="BL827" s="46"/>
      <c r="BM827" s="46"/>
      <c r="BN827" s="46"/>
      <c r="BO827" s="46"/>
      <c r="BP827" s="46"/>
      <c r="BQ827" s="46"/>
      <c r="BR827" s="34"/>
      <c r="BS827" s="34"/>
      <c r="BT827" s="34"/>
      <c r="BU827" s="34"/>
      <c r="BV827" s="34"/>
      <c r="BW827" s="34"/>
      <c r="BX827" s="34"/>
      <c r="BY827" s="4"/>
    </row>
    <row r="828" spans="1:77">
      <c r="A828" s="57"/>
      <c r="B828" s="12"/>
      <c r="C828" s="13"/>
      <c r="D828" s="13"/>
      <c r="E828" s="14"/>
      <c r="F828" s="13"/>
      <c r="G828" s="13"/>
      <c r="H828" s="13"/>
      <c r="I828" s="13"/>
      <c r="J828" s="13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13"/>
      <c r="BJ828" s="13"/>
      <c r="BK828" s="13"/>
      <c r="BL828" s="46"/>
      <c r="BM828" s="46"/>
      <c r="BN828" s="46"/>
      <c r="BO828" s="46"/>
      <c r="BP828" s="46"/>
      <c r="BQ828" s="46"/>
      <c r="BR828" s="34"/>
      <c r="BS828" s="34"/>
      <c r="BT828" s="34"/>
      <c r="BU828" s="34"/>
      <c r="BV828" s="34"/>
      <c r="BW828" s="34"/>
      <c r="BX828" s="34"/>
      <c r="BY828" s="4"/>
    </row>
    <row r="829" spans="1:77">
      <c r="A829" s="57"/>
      <c r="B829" s="12"/>
      <c r="C829" s="13"/>
      <c r="D829" s="13"/>
      <c r="E829" s="14"/>
      <c r="F829" s="13"/>
      <c r="G829" s="13"/>
      <c r="H829" s="13"/>
      <c r="I829" s="13"/>
      <c r="J829" s="13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13"/>
      <c r="BJ829" s="13"/>
      <c r="BK829" s="13"/>
      <c r="BL829" s="46"/>
      <c r="BM829" s="46"/>
      <c r="BN829" s="46"/>
      <c r="BO829" s="46"/>
      <c r="BP829" s="46"/>
      <c r="BQ829" s="46"/>
      <c r="BR829" s="34"/>
      <c r="BS829" s="34"/>
      <c r="BT829" s="34"/>
      <c r="BU829" s="34"/>
      <c r="BV829" s="34"/>
      <c r="BW829" s="34"/>
      <c r="BX829" s="34"/>
      <c r="BY829" s="4"/>
    </row>
    <row r="830" spans="1:77">
      <c r="A830" s="57"/>
      <c r="B830" s="12"/>
      <c r="C830" s="13"/>
      <c r="D830" s="13"/>
      <c r="E830" s="14"/>
      <c r="F830" s="13"/>
      <c r="G830" s="13"/>
      <c r="H830" s="13"/>
      <c r="I830" s="13"/>
      <c r="J830" s="13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13"/>
      <c r="BJ830" s="13"/>
      <c r="BK830" s="13"/>
      <c r="BL830" s="46"/>
      <c r="BM830" s="46"/>
      <c r="BN830" s="46"/>
      <c r="BO830" s="46"/>
      <c r="BP830" s="46"/>
      <c r="BQ830" s="46"/>
      <c r="BR830" s="34"/>
      <c r="BS830" s="34"/>
      <c r="BT830" s="34"/>
      <c r="BU830" s="34"/>
      <c r="BV830" s="34"/>
      <c r="BW830" s="34"/>
      <c r="BX830" s="34"/>
      <c r="BY830" s="4"/>
    </row>
    <row r="831" spans="1:77">
      <c r="A831" s="57"/>
      <c r="B831" s="12"/>
      <c r="C831" s="13"/>
      <c r="D831" s="13"/>
      <c r="E831" s="14"/>
      <c r="F831" s="13"/>
      <c r="G831" s="13"/>
      <c r="H831" s="13"/>
      <c r="I831" s="13"/>
      <c r="J831" s="13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13"/>
      <c r="BJ831" s="13"/>
      <c r="BK831" s="13"/>
      <c r="BL831" s="46"/>
      <c r="BM831" s="46"/>
      <c r="BN831" s="46"/>
      <c r="BO831" s="46"/>
      <c r="BP831" s="46"/>
      <c r="BQ831" s="46"/>
      <c r="BR831" s="34"/>
      <c r="BS831" s="34"/>
      <c r="BT831" s="34"/>
      <c r="BU831" s="34"/>
      <c r="BV831" s="34"/>
      <c r="BW831" s="34"/>
      <c r="BX831" s="34"/>
      <c r="BY831" s="4"/>
    </row>
    <row r="832" spans="1:77">
      <c r="A832" s="57"/>
      <c r="B832" s="12"/>
      <c r="C832" s="13"/>
      <c r="D832" s="13"/>
      <c r="E832" s="14"/>
      <c r="F832" s="13"/>
      <c r="G832" s="13"/>
      <c r="H832" s="13"/>
      <c r="I832" s="13"/>
      <c r="J832" s="13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13"/>
      <c r="BJ832" s="13"/>
      <c r="BK832" s="13"/>
      <c r="BL832" s="46"/>
      <c r="BM832" s="46"/>
      <c r="BN832" s="46"/>
      <c r="BO832" s="46"/>
      <c r="BP832" s="46"/>
      <c r="BQ832" s="46"/>
      <c r="BR832" s="34"/>
      <c r="BS832" s="34"/>
      <c r="BT832" s="34"/>
      <c r="BU832" s="34"/>
      <c r="BV832" s="34"/>
      <c r="BW832" s="34"/>
      <c r="BX832" s="34"/>
      <c r="BY832" s="4"/>
    </row>
    <row r="833" spans="1:77">
      <c r="A833" s="57"/>
      <c r="B833" s="12"/>
      <c r="C833" s="13"/>
      <c r="D833" s="13"/>
      <c r="E833" s="14"/>
      <c r="F833" s="13"/>
      <c r="G833" s="13"/>
      <c r="H833" s="13"/>
      <c r="I833" s="13"/>
      <c r="J833" s="13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13"/>
      <c r="BJ833" s="13"/>
      <c r="BK833" s="13"/>
      <c r="BL833" s="46"/>
      <c r="BM833" s="46"/>
      <c r="BN833" s="46"/>
      <c r="BO833" s="46"/>
      <c r="BP833" s="46"/>
      <c r="BQ833" s="46"/>
      <c r="BR833" s="34"/>
      <c r="BS833" s="34"/>
      <c r="BT833" s="34"/>
      <c r="BU833" s="34"/>
      <c r="BV833" s="34"/>
      <c r="BW833" s="34"/>
      <c r="BX833" s="34"/>
      <c r="BY833" s="4"/>
    </row>
    <row r="834" spans="1:77">
      <c r="A834" s="57"/>
      <c r="B834" s="12"/>
      <c r="C834" s="13"/>
      <c r="D834" s="13"/>
      <c r="E834" s="14"/>
      <c r="F834" s="13"/>
      <c r="G834" s="13"/>
      <c r="H834" s="13"/>
      <c r="I834" s="13"/>
      <c r="J834" s="13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13"/>
      <c r="BJ834" s="13"/>
      <c r="BK834" s="13"/>
      <c r="BL834" s="46"/>
      <c r="BM834" s="46"/>
      <c r="BN834" s="46"/>
      <c r="BO834" s="46"/>
      <c r="BP834" s="46"/>
      <c r="BQ834" s="46"/>
      <c r="BR834" s="34"/>
      <c r="BS834" s="34"/>
      <c r="BT834" s="34"/>
      <c r="BU834" s="34"/>
      <c r="BV834" s="34"/>
      <c r="BW834" s="34"/>
      <c r="BX834" s="34"/>
      <c r="BY834" s="4"/>
    </row>
    <row r="835" spans="1:77">
      <c r="A835" s="57"/>
      <c r="B835" s="12"/>
      <c r="C835" s="13"/>
      <c r="D835" s="13"/>
      <c r="E835" s="14"/>
      <c r="F835" s="13"/>
      <c r="G835" s="13"/>
      <c r="H835" s="13"/>
      <c r="I835" s="13"/>
      <c r="J835" s="13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13"/>
      <c r="BJ835" s="13"/>
      <c r="BK835" s="13"/>
      <c r="BL835" s="46"/>
      <c r="BM835" s="46"/>
      <c r="BN835" s="46"/>
      <c r="BO835" s="46"/>
      <c r="BP835" s="46"/>
      <c r="BQ835" s="46"/>
      <c r="BR835" s="34"/>
      <c r="BS835" s="34"/>
      <c r="BT835" s="34"/>
      <c r="BU835" s="34"/>
      <c r="BV835" s="34"/>
      <c r="BW835" s="34"/>
      <c r="BX835" s="34"/>
      <c r="BY835" s="4"/>
    </row>
    <row r="836" spans="1:77">
      <c r="A836" s="57"/>
      <c r="B836" s="12"/>
      <c r="C836" s="13"/>
      <c r="D836" s="13"/>
      <c r="E836" s="14"/>
      <c r="F836" s="13"/>
      <c r="G836" s="13"/>
      <c r="H836" s="13"/>
      <c r="I836" s="13"/>
      <c r="J836" s="13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13"/>
      <c r="BJ836" s="13"/>
      <c r="BK836" s="13"/>
      <c r="BL836" s="46"/>
      <c r="BM836" s="46"/>
      <c r="BN836" s="46"/>
      <c r="BO836" s="46"/>
      <c r="BP836" s="46"/>
      <c r="BQ836" s="46"/>
      <c r="BR836" s="34"/>
      <c r="BS836" s="34"/>
      <c r="BT836" s="34"/>
      <c r="BU836" s="34"/>
      <c r="BV836" s="34"/>
      <c r="BW836" s="34"/>
      <c r="BX836" s="34"/>
      <c r="BY836" s="4"/>
    </row>
    <row r="837" spans="1:77">
      <c r="A837" s="57"/>
      <c r="B837" s="12"/>
      <c r="C837" s="13"/>
      <c r="D837" s="13"/>
      <c r="E837" s="14"/>
      <c r="F837" s="13"/>
      <c r="G837" s="13"/>
      <c r="H837" s="13"/>
      <c r="I837" s="13"/>
      <c r="J837" s="13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13"/>
      <c r="BJ837" s="13"/>
      <c r="BK837" s="13"/>
      <c r="BL837" s="46"/>
      <c r="BM837" s="46"/>
      <c r="BN837" s="46"/>
      <c r="BO837" s="46"/>
      <c r="BP837" s="46"/>
      <c r="BQ837" s="46"/>
      <c r="BR837" s="34"/>
      <c r="BS837" s="34"/>
      <c r="BT837" s="34"/>
      <c r="BU837" s="34"/>
      <c r="BV837" s="34"/>
      <c r="BW837" s="34"/>
      <c r="BX837" s="34"/>
      <c r="BY837" s="4"/>
    </row>
    <row r="838" spans="1:77">
      <c r="A838" s="57"/>
      <c r="B838" s="12"/>
      <c r="C838" s="13"/>
      <c r="D838" s="13"/>
      <c r="E838" s="14"/>
      <c r="F838" s="13"/>
      <c r="G838" s="13"/>
      <c r="H838" s="13"/>
      <c r="I838" s="13"/>
      <c r="J838" s="13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13"/>
      <c r="BJ838" s="13"/>
      <c r="BK838" s="13"/>
      <c r="BL838" s="46"/>
      <c r="BM838" s="46"/>
      <c r="BN838" s="46"/>
      <c r="BO838" s="46"/>
      <c r="BP838" s="46"/>
      <c r="BQ838" s="46"/>
      <c r="BR838" s="34"/>
      <c r="BS838" s="34"/>
      <c r="BT838" s="34"/>
      <c r="BU838" s="34"/>
      <c r="BV838" s="34"/>
      <c r="BW838" s="34"/>
      <c r="BX838" s="34"/>
      <c r="BY838" s="4"/>
    </row>
    <row r="839" spans="1:77">
      <c r="A839" s="57"/>
      <c r="B839" s="12"/>
      <c r="C839" s="13"/>
      <c r="D839" s="13"/>
      <c r="E839" s="14"/>
      <c r="F839" s="13"/>
      <c r="G839" s="13"/>
      <c r="H839" s="13"/>
      <c r="I839" s="13"/>
      <c r="J839" s="13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13"/>
      <c r="BJ839" s="13"/>
      <c r="BK839" s="13"/>
      <c r="BL839" s="46"/>
      <c r="BM839" s="46"/>
      <c r="BN839" s="46"/>
      <c r="BO839" s="46"/>
      <c r="BP839" s="46"/>
      <c r="BQ839" s="46"/>
      <c r="BR839" s="34"/>
      <c r="BS839" s="34"/>
      <c r="BT839" s="34"/>
      <c r="BU839" s="34"/>
      <c r="BV839" s="34"/>
      <c r="BW839" s="34"/>
      <c r="BX839" s="34"/>
      <c r="BY839" s="4"/>
    </row>
    <row r="840" spans="1:77">
      <c r="A840" s="57"/>
      <c r="B840" s="12"/>
      <c r="C840" s="13"/>
      <c r="D840" s="13"/>
      <c r="E840" s="14"/>
      <c r="F840" s="13"/>
      <c r="G840" s="13"/>
      <c r="H840" s="13"/>
      <c r="I840" s="13"/>
      <c r="J840" s="13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13"/>
      <c r="BJ840" s="13"/>
      <c r="BK840" s="13"/>
      <c r="BL840" s="46"/>
      <c r="BM840" s="46"/>
      <c r="BN840" s="46"/>
      <c r="BO840" s="46"/>
      <c r="BP840" s="46"/>
      <c r="BQ840" s="46"/>
      <c r="BR840" s="34"/>
      <c r="BS840" s="34"/>
      <c r="BT840" s="34"/>
      <c r="BU840" s="34"/>
      <c r="BV840" s="34"/>
      <c r="BW840" s="34"/>
      <c r="BX840" s="34"/>
      <c r="BY840" s="4"/>
    </row>
    <row r="841" spans="1:77">
      <c r="A841" s="57"/>
      <c r="B841" s="12"/>
      <c r="C841" s="13"/>
      <c r="D841" s="13"/>
      <c r="E841" s="14"/>
      <c r="F841" s="13"/>
      <c r="G841" s="13"/>
      <c r="H841" s="13"/>
      <c r="I841" s="13"/>
      <c r="J841" s="13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13"/>
      <c r="BJ841" s="13"/>
      <c r="BK841" s="13"/>
      <c r="BL841" s="46"/>
      <c r="BM841" s="46"/>
      <c r="BN841" s="46"/>
      <c r="BO841" s="46"/>
      <c r="BP841" s="46"/>
      <c r="BQ841" s="46"/>
      <c r="BR841" s="34"/>
      <c r="BS841" s="34"/>
      <c r="BT841" s="34"/>
      <c r="BU841" s="34"/>
      <c r="BV841" s="34"/>
      <c r="BW841" s="34"/>
      <c r="BX841" s="34"/>
      <c r="BY841" s="4"/>
    </row>
    <row r="842" spans="1:77">
      <c r="A842" s="57"/>
      <c r="B842" s="12"/>
      <c r="C842" s="13"/>
      <c r="D842" s="13"/>
      <c r="E842" s="14"/>
      <c r="F842" s="13"/>
      <c r="G842" s="13"/>
      <c r="H842" s="13"/>
      <c r="I842" s="13"/>
      <c r="J842" s="13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13"/>
      <c r="BJ842" s="13"/>
      <c r="BK842" s="13"/>
      <c r="BL842" s="46"/>
      <c r="BM842" s="46"/>
      <c r="BN842" s="46"/>
      <c r="BO842" s="46"/>
      <c r="BP842" s="46"/>
      <c r="BQ842" s="46"/>
      <c r="BR842" s="34"/>
      <c r="BS842" s="34"/>
      <c r="BT842" s="34"/>
      <c r="BU842" s="34"/>
      <c r="BV842" s="34"/>
      <c r="BW842" s="34"/>
      <c r="BX842" s="34"/>
      <c r="BY842" s="4"/>
    </row>
    <row r="843" spans="1:77">
      <c r="A843" s="57"/>
      <c r="B843" s="12"/>
      <c r="C843" s="13"/>
      <c r="D843" s="13"/>
      <c r="E843" s="14"/>
      <c r="F843" s="13"/>
      <c r="G843" s="13"/>
      <c r="H843" s="13"/>
      <c r="I843" s="13"/>
      <c r="J843" s="13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13"/>
      <c r="BJ843" s="13"/>
      <c r="BK843" s="13"/>
      <c r="BL843" s="46"/>
      <c r="BM843" s="46"/>
      <c r="BN843" s="46"/>
      <c r="BO843" s="46"/>
      <c r="BP843" s="46"/>
      <c r="BQ843" s="46"/>
      <c r="BR843" s="34"/>
      <c r="BS843" s="34"/>
      <c r="BT843" s="34"/>
      <c r="BU843" s="34"/>
      <c r="BV843" s="34"/>
      <c r="BW843" s="34"/>
      <c r="BX843" s="34"/>
      <c r="BY843" s="4"/>
    </row>
    <row r="844" spans="1:77">
      <c r="A844" s="57"/>
      <c r="B844" s="19"/>
      <c r="C844" s="16"/>
      <c r="D844" s="16"/>
      <c r="E844" s="17"/>
      <c r="F844" s="16"/>
      <c r="G844" s="16"/>
      <c r="H844" s="16"/>
      <c r="I844" s="16"/>
      <c r="J844" s="16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6"/>
      <c r="W844" s="36"/>
      <c r="X844" s="5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8"/>
      <c r="AN844" s="28"/>
      <c r="AO844" s="28"/>
      <c r="AP844" s="30"/>
      <c r="AQ844" s="30"/>
      <c r="AR844" s="30"/>
      <c r="AS844" s="30"/>
      <c r="AT844" s="30"/>
      <c r="AU844" s="30"/>
      <c r="AV844" s="30"/>
      <c r="AW844" s="30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16"/>
      <c r="BJ844" s="16"/>
      <c r="BK844" s="16"/>
      <c r="BL844" s="48"/>
      <c r="BM844" s="48"/>
      <c r="BN844" s="48"/>
      <c r="BO844" s="48"/>
      <c r="BP844" s="48"/>
      <c r="BQ844" s="48"/>
      <c r="BR844" s="36"/>
      <c r="BS844" s="36"/>
      <c r="BT844" s="36"/>
      <c r="BU844" s="36"/>
      <c r="BV844" s="36"/>
      <c r="BW844" s="36"/>
      <c r="BX844" s="36"/>
      <c r="BY844" s="6"/>
    </row>
    <row r="845" spans="1:77">
      <c r="A845" s="57"/>
      <c r="B845" s="16"/>
      <c r="C845" s="16"/>
      <c r="D845" s="16"/>
      <c r="E845" s="17"/>
      <c r="F845" s="16"/>
      <c r="G845" s="16"/>
      <c r="H845" s="16"/>
      <c r="I845" s="16"/>
      <c r="J845" s="16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6"/>
      <c r="W845" s="36"/>
      <c r="X845" s="5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8"/>
      <c r="AN845" s="28"/>
      <c r="AO845" s="28"/>
      <c r="AP845" s="30"/>
      <c r="AQ845" s="30"/>
      <c r="AR845" s="30"/>
      <c r="AS845" s="30"/>
      <c r="AT845" s="30"/>
      <c r="AU845" s="30"/>
      <c r="AV845" s="30"/>
      <c r="AW845" s="30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16"/>
      <c r="BJ845" s="16"/>
      <c r="BK845" s="16"/>
      <c r="BL845" s="48"/>
      <c r="BM845" s="48"/>
      <c r="BN845" s="48"/>
      <c r="BO845" s="48"/>
      <c r="BP845" s="48"/>
      <c r="BQ845" s="48"/>
      <c r="BR845" s="36"/>
      <c r="BS845" s="36"/>
      <c r="BT845" s="36"/>
      <c r="BU845" s="36"/>
      <c r="BV845" s="36"/>
      <c r="BW845" s="36"/>
      <c r="BX845" s="36"/>
      <c r="BY845" s="6"/>
    </row>
    <row r="846" spans="1:77">
      <c r="A846" s="1" t="s">
        <v>76</v>
      </c>
      <c r="B846" s="13"/>
      <c r="C846" s="13"/>
      <c r="D846" s="13"/>
      <c r="E846" s="14">
        <f>SUM(E775:E845)</f>
        <v>0</v>
      </c>
      <c r="F846" s="13"/>
      <c r="G846" s="13">
        <f t="shared" ref="G846:N846" si="35">SUM(G775:G845)</f>
        <v>0</v>
      </c>
      <c r="H846" s="13">
        <f t="shared" si="35"/>
        <v>0</v>
      </c>
      <c r="I846" s="13">
        <f t="shared" si="35"/>
        <v>0</v>
      </c>
      <c r="J846" s="13">
        <f t="shared" si="35"/>
        <v>0</v>
      </c>
      <c r="K846" s="34">
        <f t="shared" si="35"/>
        <v>0</v>
      </c>
      <c r="L846" s="34">
        <f t="shared" si="35"/>
        <v>0</v>
      </c>
      <c r="M846" s="34">
        <f t="shared" si="35"/>
        <v>0</v>
      </c>
      <c r="N846" s="34">
        <f t="shared" si="35"/>
        <v>0</v>
      </c>
      <c r="O846" s="34"/>
      <c r="P846" s="34">
        <f t="shared" ref="P846:Z846" si="36">SUM(P775:P845)</f>
        <v>0</v>
      </c>
      <c r="Q846" s="34">
        <f t="shared" si="36"/>
        <v>0</v>
      </c>
      <c r="R846" s="34">
        <f t="shared" si="36"/>
        <v>0</v>
      </c>
      <c r="S846" s="34">
        <f t="shared" si="36"/>
        <v>0</v>
      </c>
      <c r="T846" s="34">
        <f t="shared" si="36"/>
        <v>0</v>
      </c>
      <c r="U846" s="34">
        <f t="shared" si="36"/>
        <v>0</v>
      </c>
      <c r="V846" s="34"/>
      <c r="W846" s="34">
        <f t="shared" si="36"/>
        <v>0</v>
      </c>
      <c r="X846" s="3">
        <f t="shared" si="36"/>
        <v>0</v>
      </c>
      <c r="Y846" s="21">
        <f t="shared" si="36"/>
        <v>0</v>
      </c>
      <c r="Z846" s="21">
        <f t="shared" si="36"/>
        <v>0</v>
      </c>
      <c r="AA846" s="21">
        <f t="shared" ref="AA846:AN846" si="37">SUM(AA775:AA845)</f>
        <v>0</v>
      </c>
      <c r="AB846" s="21">
        <f t="shared" si="37"/>
        <v>0</v>
      </c>
      <c r="AC846" s="21">
        <f t="shared" si="37"/>
        <v>0</v>
      </c>
      <c r="AD846" s="21">
        <f t="shared" si="37"/>
        <v>0</v>
      </c>
      <c r="AE846" s="21">
        <f t="shared" si="37"/>
        <v>0</v>
      </c>
      <c r="AF846" s="21">
        <f t="shared" si="37"/>
        <v>0</v>
      </c>
      <c r="AG846" s="21">
        <f t="shared" si="37"/>
        <v>0</v>
      </c>
      <c r="AH846" s="21">
        <f t="shared" si="37"/>
        <v>0</v>
      </c>
      <c r="AI846" s="21">
        <f t="shared" si="37"/>
        <v>0</v>
      </c>
      <c r="AJ846" s="21">
        <f t="shared" si="37"/>
        <v>0</v>
      </c>
      <c r="AK846" s="21">
        <f t="shared" si="37"/>
        <v>0</v>
      </c>
      <c r="AL846" s="21">
        <f t="shared" si="37"/>
        <v>0</v>
      </c>
      <c r="AM846" s="28">
        <f t="shared" si="37"/>
        <v>0</v>
      </c>
      <c r="AN846" s="28">
        <f t="shared" si="37"/>
        <v>0</v>
      </c>
      <c r="AO846" s="28">
        <f>SUM(AO775:AO845)</f>
        <v>0</v>
      </c>
      <c r="AP846" s="28">
        <f t="shared" ref="AP846:AU846" si="38">SUM(AP775:AP845)</f>
        <v>0</v>
      </c>
      <c r="AQ846" s="28">
        <f t="shared" si="38"/>
        <v>0</v>
      </c>
      <c r="AR846" s="28">
        <f t="shared" si="38"/>
        <v>0</v>
      </c>
      <c r="AS846" s="28">
        <f t="shared" si="38"/>
        <v>0</v>
      </c>
      <c r="AT846" s="28">
        <f t="shared" si="38"/>
        <v>0</v>
      </c>
      <c r="AU846" s="28">
        <f t="shared" si="38"/>
        <v>0</v>
      </c>
      <c r="AV846" s="28">
        <f>SUM(AV775:AV845)</f>
        <v>0</v>
      </c>
      <c r="AW846" s="28">
        <f t="shared" ref="AW846:BW846" si="39">SUM(AW775:AW845)</f>
        <v>0</v>
      </c>
      <c r="AX846" s="39">
        <f t="shared" si="39"/>
        <v>0</v>
      </c>
      <c r="AY846" s="39">
        <f t="shared" si="39"/>
        <v>0</v>
      </c>
      <c r="AZ846" s="39">
        <f t="shared" si="39"/>
        <v>0</v>
      </c>
      <c r="BA846" s="39">
        <f t="shared" si="39"/>
        <v>0</v>
      </c>
      <c r="BB846" s="39">
        <f t="shared" si="39"/>
        <v>0</v>
      </c>
      <c r="BC846" s="39">
        <f t="shared" si="39"/>
        <v>0</v>
      </c>
      <c r="BD846" s="39">
        <f t="shared" si="39"/>
        <v>0</v>
      </c>
      <c r="BE846" s="39">
        <f t="shared" si="39"/>
        <v>0</v>
      </c>
      <c r="BF846" s="39">
        <f t="shared" si="39"/>
        <v>0</v>
      </c>
      <c r="BG846" s="39">
        <f t="shared" si="39"/>
        <v>0</v>
      </c>
      <c r="BH846" s="39">
        <f t="shared" si="39"/>
        <v>0</v>
      </c>
      <c r="BI846" s="13">
        <f t="shared" si="39"/>
        <v>0</v>
      </c>
      <c r="BJ846" s="13">
        <f t="shared" si="39"/>
        <v>0</v>
      </c>
      <c r="BK846" s="13">
        <f t="shared" si="39"/>
        <v>0</v>
      </c>
      <c r="BL846" s="46">
        <f t="shared" si="39"/>
        <v>0</v>
      </c>
      <c r="BM846" s="46">
        <f t="shared" si="39"/>
        <v>0</v>
      </c>
      <c r="BN846" s="46">
        <f t="shared" si="39"/>
        <v>0</v>
      </c>
      <c r="BO846" s="46">
        <f t="shared" si="39"/>
        <v>0</v>
      </c>
      <c r="BP846" s="46">
        <f t="shared" si="39"/>
        <v>0</v>
      </c>
      <c r="BQ846" s="46">
        <f t="shared" si="39"/>
        <v>0</v>
      </c>
      <c r="BR846" s="34">
        <f t="shared" si="39"/>
        <v>0</v>
      </c>
      <c r="BS846" s="34">
        <f t="shared" si="39"/>
        <v>0</v>
      </c>
      <c r="BT846" s="34">
        <f t="shared" si="39"/>
        <v>0</v>
      </c>
      <c r="BU846" s="34">
        <f t="shared" si="39"/>
        <v>0</v>
      </c>
      <c r="BV846" s="34">
        <f t="shared" si="39"/>
        <v>0</v>
      </c>
      <c r="BW846" s="34">
        <f t="shared" si="39"/>
        <v>0</v>
      </c>
      <c r="BX846" s="34"/>
      <c r="BY846" s="4"/>
    </row>
    <row r="847" spans="1:77">
      <c r="B847" s="18"/>
      <c r="C847" s="18"/>
      <c r="D847" s="18"/>
      <c r="E847" s="18"/>
      <c r="F847" s="18"/>
      <c r="G847" s="18"/>
      <c r="H847" s="18"/>
      <c r="I847" s="18"/>
      <c r="J847" s="18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18"/>
      <c r="BJ847" s="18"/>
      <c r="BK847" s="18"/>
      <c r="BL847" s="47"/>
      <c r="BM847" s="47"/>
      <c r="BN847" s="47"/>
      <c r="BO847" s="47"/>
      <c r="BP847" s="47"/>
      <c r="BQ847" s="47"/>
      <c r="BR847" s="35"/>
      <c r="BS847" s="35"/>
      <c r="BT847" s="35"/>
      <c r="BU847" s="35"/>
      <c r="BV847" s="35"/>
      <c r="BW847" s="35"/>
      <c r="BX847" s="35"/>
    </row>
    <row r="848" spans="1:77">
      <c r="B848" s="18"/>
      <c r="C848" s="18"/>
      <c r="D848" s="18"/>
      <c r="E848" s="18"/>
      <c r="F848" s="18"/>
      <c r="G848" s="18"/>
      <c r="H848" s="18"/>
      <c r="I848" s="18"/>
      <c r="J848" s="18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18"/>
      <c r="BJ848" s="18"/>
      <c r="BK848" s="18"/>
      <c r="BL848" s="47"/>
      <c r="BM848" s="47"/>
      <c r="BN848" s="47"/>
      <c r="BO848" s="47"/>
      <c r="BP848" s="47"/>
      <c r="BQ848" s="47"/>
      <c r="BR848" s="35"/>
      <c r="BS848" s="35"/>
      <c r="BT848" s="35"/>
      <c r="BU848" s="35"/>
      <c r="BV848" s="35"/>
      <c r="BW848" s="35"/>
      <c r="BX848" s="35"/>
    </row>
    <row r="849" spans="2:77" ht="159.6">
      <c r="B849" s="59"/>
      <c r="C849" s="60"/>
      <c r="D849" s="61"/>
      <c r="E849" s="11" t="s">
        <v>4</v>
      </c>
      <c r="F849" s="11" t="s">
        <v>5</v>
      </c>
      <c r="G849" s="11" t="s">
        <v>6</v>
      </c>
      <c r="H849" s="11" t="s">
        <v>7</v>
      </c>
      <c r="I849" s="11" t="s">
        <v>8</v>
      </c>
      <c r="J849" s="11" t="s">
        <v>9</v>
      </c>
      <c r="K849" s="33" t="s">
        <v>10</v>
      </c>
      <c r="L849" s="33" t="s">
        <v>11</v>
      </c>
      <c r="M849" s="33" t="s">
        <v>12</v>
      </c>
      <c r="N849" s="33" t="s">
        <v>13</v>
      </c>
      <c r="O849" s="54" t="s">
        <v>14</v>
      </c>
      <c r="P849" s="54" t="s">
        <v>15</v>
      </c>
      <c r="Q849" s="54" t="s">
        <v>16</v>
      </c>
      <c r="R849" s="54" t="s">
        <v>17</v>
      </c>
      <c r="S849" s="54" t="s">
        <v>18</v>
      </c>
      <c r="T849" s="54" t="s">
        <v>79</v>
      </c>
      <c r="U849" s="54" t="s">
        <v>20</v>
      </c>
      <c r="V849" s="54"/>
      <c r="W849" s="54" t="s">
        <v>111</v>
      </c>
      <c r="X849" s="9" t="s">
        <v>95</v>
      </c>
      <c r="Y849" s="38" t="s">
        <v>24</v>
      </c>
      <c r="Z849" s="38" t="s">
        <v>25</v>
      </c>
      <c r="AA849" s="38" t="s">
        <v>26</v>
      </c>
      <c r="AB849" s="38" t="s">
        <v>90</v>
      </c>
      <c r="AC849" s="38" t="s">
        <v>28</v>
      </c>
      <c r="AD849" s="38" t="s">
        <v>29</v>
      </c>
      <c r="AE849" s="38" t="s">
        <v>30</v>
      </c>
      <c r="AF849" s="38" t="s">
        <v>31</v>
      </c>
      <c r="AG849" s="38" t="s">
        <v>32</v>
      </c>
      <c r="AH849" s="38" t="s">
        <v>33</v>
      </c>
      <c r="AI849" s="38" t="s">
        <v>34</v>
      </c>
      <c r="AJ849" s="38" t="s">
        <v>35</v>
      </c>
      <c r="AK849" s="38" t="s">
        <v>36</v>
      </c>
      <c r="AL849" s="38" t="s">
        <v>37</v>
      </c>
      <c r="AM849" s="27" t="s">
        <v>38</v>
      </c>
      <c r="AN849" s="27" t="s">
        <v>39</v>
      </c>
      <c r="AO849" s="27" t="s">
        <v>40</v>
      </c>
      <c r="AP849" s="27" t="s">
        <v>41</v>
      </c>
      <c r="AQ849" s="27" t="s">
        <v>42</v>
      </c>
      <c r="AR849" s="27" t="s">
        <v>43</v>
      </c>
      <c r="AS849" s="27" t="s">
        <v>44</v>
      </c>
      <c r="AT849" s="27" t="s">
        <v>45</v>
      </c>
      <c r="AU849" s="27" t="s">
        <v>46</v>
      </c>
      <c r="AV849" s="27" t="s">
        <v>47</v>
      </c>
      <c r="AW849" s="27" t="s">
        <v>37</v>
      </c>
      <c r="AX849" s="38" t="s">
        <v>48</v>
      </c>
      <c r="AY849" s="38" t="s">
        <v>49</v>
      </c>
      <c r="AZ849" s="38" t="s">
        <v>50</v>
      </c>
      <c r="BA849" s="38" t="s">
        <v>51</v>
      </c>
      <c r="BB849" s="38" t="s">
        <v>52</v>
      </c>
      <c r="BC849" s="38" t="s">
        <v>53</v>
      </c>
      <c r="BD849" s="38" t="s">
        <v>54</v>
      </c>
      <c r="BE849" s="38" t="s">
        <v>55</v>
      </c>
      <c r="BF849" s="38" t="s">
        <v>56</v>
      </c>
      <c r="BG849" s="38" t="s">
        <v>57</v>
      </c>
      <c r="BH849" s="38" t="s">
        <v>58</v>
      </c>
      <c r="BI849" s="11" t="s">
        <v>28</v>
      </c>
      <c r="BJ849" s="11" t="s">
        <v>59</v>
      </c>
      <c r="BK849" s="11" t="s">
        <v>60</v>
      </c>
      <c r="BL849" s="32" t="s">
        <v>61</v>
      </c>
      <c r="BM849" s="32" t="s">
        <v>62</v>
      </c>
      <c r="BN849" s="32" t="s">
        <v>63</v>
      </c>
      <c r="BO849" s="32" t="s">
        <v>64</v>
      </c>
      <c r="BP849" s="32" t="s">
        <v>65</v>
      </c>
      <c r="BQ849" s="32" t="s">
        <v>66</v>
      </c>
      <c r="BR849" s="33" t="s">
        <v>67</v>
      </c>
      <c r="BS849" s="33" t="s">
        <v>68</v>
      </c>
      <c r="BT849" s="33" t="s">
        <v>69</v>
      </c>
      <c r="BU849" s="33" t="s">
        <v>70</v>
      </c>
      <c r="BV849" s="33" t="s">
        <v>71</v>
      </c>
      <c r="BW849" s="33" t="s">
        <v>82</v>
      </c>
      <c r="BX849" s="33" t="s">
        <v>73</v>
      </c>
      <c r="BY849" s="10" t="s">
        <v>74</v>
      </c>
    </row>
    <row r="850" spans="2:77">
      <c r="B850" s="58" t="s">
        <v>112</v>
      </c>
      <c r="C850" s="58"/>
      <c r="D850" s="58"/>
      <c r="E850" s="50">
        <f>SUM(E92+E168+E297+E370)</f>
        <v>0</v>
      </c>
      <c r="F850" s="23"/>
      <c r="G850" s="50">
        <f t="shared" ref="G850:N850" si="40">SUM(G92+G168+G297+G370)</f>
        <v>0</v>
      </c>
      <c r="H850" s="50">
        <f t="shared" si="40"/>
        <v>0</v>
      </c>
      <c r="I850" s="50">
        <f t="shared" si="40"/>
        <v>0</v>
      </c>
      <c r="J850" s="50">
        <f t="shared" si="40"/>
        <v>0</v>
      </c>
      <c r="K850" s="52">
        <f t="shared" si="40"/>
        <v>0</v>
      </c>
      <c r="L850" s="52">
        <f t="shared" si="40"/>
        <v>0</v>
      </c>
      <c r="M850" s="52">
        <f t="shared" si="40"/>
        <v>0</v>
      </c>
      <c r="N850" s="52">
        <f t="shared" si="40"/>
        <v>0</v>
      </c>
      <c r="O850" s="34"/>
      <c r="P850" s="34">
        <f t="shared" ref="P850:U850" si="41">SUM(P92+P168+P297+P370)</f>
        <v>0</v>
      </c>
      <c r="Q850" s="34">
        <f t="shared" si="41"/>
        <v>0</v>
      </c>
      <c r="R850" s="34">
        <f t="shared" si="41"/>
        <v>0</v>
      </c>
      <c r="S850" s="34">
        <f t="shared" si="41"/>
        <v>0</v>
      </c>
      <c r="T850" s="34">
        <f t="shared" si="41"/>
        <v>0</v>
      </c>
      <c r="U850" s="34">
        <f t="shared" si="41"/>
        <v>0</v>
      </c>
      <c r="V850" s="34"/>
      <c r="W850" s="34">
        <f t="shared" ref="W850:BB850" si="42">SUM(W92+W168+W297+W370)</f>
        <v>0</v>
      </c>
      <c r="X850" s="8">
        <f t="shared" si="42"/>
        <v>0</v>
      </c>
      <c r="Y850" s="49">
        <f t="shared" si="42"/>
        <v>0</v>
      </c>
      <c r="Z850" s="49">
        <f t="shared" si="42"/>
        <v>0</v>
      </c>
      <c r="AA850" s="49">
        <f t="shared" si="42"/>
        <v>0</v>
      </c>
      <c r="AB850" s="49">
        <f t="shared" si="42"/>
        <v>0</v>
      </c>
      <c r="AC850" s="49">
        <f t="shared" si="42"/>
        <v>0</v>
      </c>
      <c r="AD850" s="49">
        <f t="shared" si="42"/>
        <v>0</v>
      </c>
      <c r="AE850" s="49">
        <f t="shared" si="42"/>
        <v>0</v>
      </c>
      <c r="AF850" s="49">
        <f t="shared" si="42"/>
        <v>0</v>
      </c>
      <c r="AG850" s="49">
        <f t="shared" si="42"/>
        <v>0</v>
      </c>
      <c r="AH850" s="49">
        <f t="shared" si="42"/>
        <v>0</v>
      </c>
      <c r="AI850" s="49">
        <f t="shared" si="42"/>
        <v>0</v>
      </c>
      <c r="AJ850" s="49">
        <f t="shared" si="42"/>
        <v>0</v>
      </c>
      <c r="AK850" s="49">
        <f t="shared" si="42"/>
        <v>0</v>
      </c>
      <c r="AL850" s="49">
        <f t="shared" si="42"/>
        <v>0</v>
      </c>
      <c r="AM850" s="31">
        <f t="shared" si="42"/>
        <v>0</v>
      </c>
      <c r="AN850" s="31">
        <f t="shared" si="42"/>
        <v>0</v>
      </c>
      <c r="AO850" s="31">
        <f t="shared" si="42"/>
        <v>0</v>
      </c>
      <c r="AP850" s="31">
        <f t="shared" si="42"/>
        <v>0</v>
      </c>
      <c r="AQ850" s="31">
        <f t="shared" si="42"/>
        <v>0</v>
      </c>
      <c r="AR850" s="31">
        <f t="shared" si="42"/>
        <v>0</v>
      </c>
      <c r="AS850" s="31">
        <f t="shared" si="42"/>
        <v>0</v>
      </c>
      <c r="AT850" s="31">
        <f t="shared" si="42"/>
        <v>0</v>
      </c>
      <c r="AU850" s="31">
        <f t="shared" si="42"/>
        <v>0</v>
      </c>
      <c r="AV850" s="31">
        <f t="shared" si="42"/>
        <v>0</v>
      </c>
      <c r="AW850" s="31">
        <f t="shared" si="42"/>
        <v>0</v>
      </c>
      <c r="AX850" s="49">
        <f t="shared" si="42"/>
        <v>0</v>
      </c>
      <c r="AY850" s="49">
        <f t="shared" si="42"/>
        <v>0</v>
      </c>
      <c r="AZ850" s="49">
        <f t="shared" si="42"/>
        <v>0</v>
      </c>
      <c r="BA850" s="49">
        <f t="shared" si="42"/>
        <v>0</v>
      </c>
      <c r="BB850" s="49">
        <f t="shared" si="42"/>
        <v>0</v>
      </c>
      <c r="BC850" s="49">
        <f t="shared" ref="BC850:BW850" si="43">SUM(BC92+BC168+BC297+BC370)</f>
        <v>0</v>
      </c>
      <c r="BD850" s="49">
        <f t="shared" si="43"/>
        <v>0</v>
      </c>
      <c r="BE850" s="49">
        <f t="shared" si="43"/>
        <v>0</v>
      </c>
      <c r="BF850" s="49">
        <f t="shared" si="43"/>
        <v>0</v>
      </c>
      <c r="BG850" s="49">
        <f t="shared" si="43"/>
        <v>0</v>
      </c>
      <c r="BH850" s="49">
        <f t="shared" si="43"/>
        <v>0</v>
      </c>
      <c r="BI850" s="50">
        <f t="shared" si="43"/>
        <v>0</v>
      </c>
      <c r="BJ850" s="50">
        <f t="shared" si="43"/>
        <v>0</v>
      </c>
      <c r="BK850" s="50">
        <f t="shared" si="43"/>
        <v>0</v>
      </c>
      <c r="BL850" s="51">
        <f t="shared" si="43"/>
        <v>0</v>
      </c>
      <c r="BM850" s="51">
        <f t="shared" si="43"/>
        <v>0</v>
      </c>
      <c r="BN850" s="51">
        <f t="shared" si="43"/>
        <v>0</v>
      </c>
      <c r="BO850" s="51">
        <f t="shared" si="43"/>
        <v>0</v>
      </c>
      <c r="BP850" s="51">
        <f t="shared" si="43"/>
        <v>0</v>
      </c>
      <c r="BQ850" s="51">
        <f t="shared" si="43"/>
        <v>0</v>
      </c>
      <c r="BR850" s="52">
        <f t="shared" si="43"/>
        <v>0</v>
      </c>
      <c r="BS850" s="52">
        <f t="shared" si="43"/>
        <v>0</v>
      </c>
      <c r="BT850" s="52">
        <f t="shared" si="43"/>
        <v>0</v>
      </c>
      <c r="BU850" s="52">
        <f t="shared" si="43"/>
        <v>0</v>
      </c>
      <c r="BV850" s="52">
        <f t="shared" si="43"/>
        <v>0</v>
      </c>
      <c r="BW850" s="52">
        <f t="shared" si="43"/>
        <v>0</v>
      </c>
      <c r="BX850" s="53"/>
      <c r="BY850" s="7"/>
    </row>
    <row r="851" spans="2:77">
      <c r="B851" s="58" t="s">
        <v>113</v>
      </c>
      <c r="C851" s="58"/>
      <c r="D851" s="58"/>
      <c r="E851" s="50">
        <f>SUM(E466+E548+E645+E712+E772+E846)</f>
        <v>0</v>
      </c>
      <c r="F851" s="23"/>
      <c r="G851" s="50">
        <f t="shared" ref="G851:N851" si="44">SUM(G466+G548+G645+G712+G772+G846)</f>
        <v>0</v>
      </c>
      <c r="H851" s="50">
        <f t="shared" si="44"/>
        <v>0</v>
      </c>
      <c r="I851" s="50">
        <f t="shared" si="44"/>
        <v>1</v>
      </c>
      <c r="J851" s="50">
        <f t="shared" si="44"/>
        <v>1</v>
      </c>
      <c r="K851" s="52">
        <f t="shared" si="44"/>
        <v>0</v>
      </c>
      <c r="L851" s="52">
        <f t="shared" si="44"/>
        <v>1</v>
      </c>
      <c r="M851" s="52">
        <f t="shared" si="44"/>
        <v>0</v>
      </c>
      <c r="N851" s="52">
        <f t="shared" si="44"/>
        <v>0</v>
      </c>
      <c r="O851" s="34"/>
      <c r="P851" s="34">
        <f t="shared" ref="P851:U851" si="45">SUM(P466+P548+P645+P712+P772+P846)</f>
        <v>0</v>
      </c>
      <c r="Q851" s="34">
        <f t="shared" si="45"/>
        <v>0</v>
      </c>
      <c r="R851" s="34">
        <f t="shared" si="45"/>
        <v>1</v>
      </c>
      <c r="S851" s="34">
        <f t="shared" si="45"/>
        <v>0</v>
      </c>
      <c r="T851" s="34">
        <f t="shared" si="45"/>
        <v>0</v>
      </c>
      <c r="U851" s="34">
        <f t="shared" si="45"/>
        <v>0</v>
      </c>
      <c r="V851" s="34"/>
      <c r="W851" s="34">
        <f t="shared" ref="W851:BB851" si="46">SUM(W466+W548+W645+W712+W772+W846)</f>
        <v>0</v>
      </c>
      <c r="X851" s="8">
        <f t="shared" si="46"/>
        <v>1</v>
      </c>
      <c r="Y851" s="49">
        <f t="shared" si="46"/>
        <v>0</v>
      </c>
      <c r="Z851" s="49">
        <f t="shared" si="46"/>
        <v>0</v>
      </c>
      <c r="AA851" s="49">
        <f t="shared" si="46"/>
        <v>0</v>
      </c>
      <c r="AB851" s="49">
        <f t="shared" si="46"/>
        <v>0</v>
      </c>
      <c r="AC851" s="49">
        <f t="shared" si="46"/>
        <v>0</v>
      </c>
      <c r="AD851" s="49">
        <f t="shared" si="46"/>
        <v>0</v>
      </c>
      <c r="AE851" s="49">
        <f t="shared" si="46"/>
        <v>0</v>
      </c>
      <c r="AF851" s="49">
        <f t="shared" si="46"/>
        <v>0</v>
      </c>
      <c r="AG851" s="49">
        <f t="shared" si="46"/>
        <v>0</v>
      </c>
      <c r="AH851" s="49">
        <f t="shared" si="46"/>
        <v>0</v>
      </c>
      <c r="AI851" s="49">
        <f t="shared" si="46"/>
        <v>0</v>
      </c>
      <c r="AJ851" s="49">
        <f t="shared" si="46"/>
        <v>0</v>
      </c>
      <c r="AK851" s="49">
        <f t="shared" si="46"/>
        <v>0</v>
      </c>
      <c r="AL851" s="49">
        <f t="shared" si="46"/>
        <v>0</v>
      </c>
      <c r="AM851" s="31">
        <f t="shared" si="46"/>
        <v>0</v>
      </c>
      <c r="AN851" s="31">
        <f t="shared" si="46"/>
        <v>0</v>
      </c>
      <c r="AO851" s="31">
        <f t="shared" si="46"/>
        <v>0</v>
      </c>
      <c r="AP851" s="31">
        <f t="shared" si="46"/>
        <v>0</v>
      </c>
      <c r="AQ851" s="31">
        <f t="shared" si="46"/>
        <v>0</v>
      </c>
      <c r="AR851" s="31">
        <f t="shared" si="46"/>
        <v>0</v>
      </c>
      <c r="AS851" s="31">
        <f t="shared" si="46"/>
        <v>0</v>
      </c>
      <c r="AT851" s="31">
        <f t="shared" si="46"/>
        <v>0</v>
      </c>
      <c r="AU851" s="31">
        <f t="shared" si="46"/>
        <v>0</v>
      </c>
      <c r="AV851" s="31">
        <f t="shared" si="46"/>
        <v>0</v>
      </c>
      <c r="AW851" s="31">
        <f t="shared" si="46"/>
        <v>0</v>
      </c>
      <c r="AX851" s="49">
        <f t="shared" si="46"/>
        <v>0</v>
      </c>
      <c r="AY851" s="49">
        <f t="shared" si="46"/>
        <v>0</v>
      </c>
      <c r="AZ851" s="49">
        <f t="shared" si="46"/>
        <v>0</v>
      </c>
      <c r="BA851" s="49">
        <f t="shared" si="46"/>
        <v>0</v>
      </c>
      <c r="BB851" s="49">
        <f t="shared" si="46"/>
        <v>0</v>
      </c>
      <c r="BC851" s="49">
        <f t="shared" ref="BC851:BW851" si="47">SUM(BC466+BC548+BC645+BC712+BC772+BC846)</f>
        <v>0</v>
      </c>
      <c r="BD851" s="49">
        <f t="shared" si="47"/>
        <v>0</v>
      </c>
      <c r="BE851" s="49">
        <f t="shared" si="47"/>
        <v>0</v>
      </c>
      <c r="BF851" s="49">
        <f t="shared" si="47"/>
        <v>0</v>
      </c>
      <c r="BG851" s="49">
        <f t="shared" si="47"/>
        <v>0</v>
      </c>
      <c r="BH851" s="49">
        <f t="shared" si="47"/>
        <v>0</v>
      </c>
      <c r="BI851" s="50">
        <f t="shared" si="47"/>
        <v>0</v>
      </c>
      <c r="BJ851" s="50">
        <f t="shared" si="47"/>
        <v>0</v>
      </c>
      <c r="BK851" s="50">
        <f t="shared" si="47"/>
        <v>0</v>
      </c>
      <c r="BL851" s="51">
        <f t="shared" si="47"/>
        <v>0</v>
      </c>
      <c r="BM851" s="51">
        <f t="shared" si="47"/>
        <v>0</v>
      </c>
      <c r="BN851" s="51">
        <f t="shared" si="47"/>
        <v>0</v>
      </c>
      <c r="BO851" s="51">
        <f t="shared" si="47"/>
        <v>0</v>
      </c>
      <c r="BP851" s="51">
        <f t="shared" si="47"/>
        <v>0</v>
      </c>
      <c r="BQ851" s="51">
        <f t="shared" si="47"/>
        <v>0</v>
      </c>
      <c r="BR851" s="52">
        <f t="shared" si="47"/>
        <v>0</v>
      </c>
      <c r="BS851" s="52">
        <f t="shared" si="47"/>
        <v>0</v>
      </c>
      <c r="BT851" s="52">
        <f t="shared" si="47"/>
        <v>0</v>
      </c>
      <c r="BU851" s="52">
        <f t="shared" si="47"/>
        <v>0</v>
      </c>
      <c r="BV851" s="52">
        <f t="shared" si="47"/>
        <v>0</v>
      </c>
      <c r="BW851" s="52">
        <f t="shared" si="47"/>
        <v>0</v>
      </c>
      <c r="BX851" s="53"/>
      <c r="BY851" s="7"/>
    </row>
    <row r="852" spans="2:77">
      <c r="B852" s="58" t="s">
        <v>114</v>
      </c>
      <c r="C852" s="58"/>
      <c r="D852" s="58"/>
      <c r="E852" s="50">
        <f>SUM(E850+E851)</f>
        <v>0</v>
      </c>
      <c r="F852" s="23"/>
      <c r="G852" s="50">
        <f t="shared" ref="G852:W852" si="48">SUM(G850+G851)</f>
        <v>0</v>
      </c>
      <c r="H852" s="50">
        <f t="shared" si="48"/>
        <v>0</v>
      </c>
      <c r="I852" s="50">
        <f t="shared" si="48"/>
        <v>1</v>
      </c>
      <c r="J852" s="50">
        <f t="shared" si="48"/>
        <v>1</v>
      </c>
      <c r="K852" s="52">
        <f t="shared" si="48"/>
        <v>0</v>
      </c>
      <c r="L852" s="52">
        <f t="shared" si="48"/>
        <v>1</v>
      </c>
      <c r="M852" s="52">
        <f t="shared" si="48"/>
        <v>0</v>
      </c>
      <c r="N852" s="52">
        <f t="shared" si="48"/>
        <v>0</v>
      </c>
      <c r="O852" s="34"/>
      <c r="P852" s="34">
        <f t="shared" si="48"/>
        <v>0</v>
      </c>
      <c r="Q852" s="34">
        <f t="shared" si="48"/>
        <v>0</v>
      </c>
      <c r="R852" s="34">
        <f t="shared" si="48"/>
        <v>1</v>
      </c>
      <c r="S852" s="34">
        <f t="shared" si="48"/>
        <v>0</v>
      </c>
      <c r="T852" s="34">
        <f t="shared" si="48"/>
        <v>0</v>
      </c>
      <c r="U852" s="34">
        <f t="shared" si="48"/>
        <v>0</v>
      </c>
      <c r="V852" s="34"/>
      <c r="W852" s="34">
        <f t="shared" si="48"/>
        <v>0</v>
      </c>
      <c r="X852" s="8">
        <f>SUM(X850+X851)</f>
        <v>1</v>
      </c>
      <c r="Y852" s="49">
        <f t="shared" ref="Y852:AY852" si="49">SUM(Y850+Y851)</f>
        <v>0</v>
      </c>
      <c r="Z852" s="49">
        <f>SUM(Z850+Z851)</f>
        <v>0</v>
      </c>
      <c r="AA852" s="49">
        <f t="shared" si="49"/>
        <v>0</v>
      </c>
      <c r="AB852" s="49">
        <f t="shared" si="49"/>
        <v>0</v>
      </c>
      <c r="AC852" s="49">
        <f t="shared" si="49"/>
        <v>0</v>
      </c>
      <c r="AD852" s="49">
        <f t="shared" si="49"/>
        <v>0</v>
      </c>
      <c r="AE852" s="49">
        <f t="shared" si="49"/>
        <v>0</v>
      </c>
      <c r="AF852" s="49">
        <f t="shared" si="49"/>
        <v>0</v>
      </c>
      <c r="AG852" s="49">
        <f t="shared" si="49"/>
        <v>0</v>
      </c>
      <c r="AH852" s="49">
        <f t="shared" si="49"/>
        <v>0</v>
      </c>
      <c r="AI852" s="49">
        <f t="shared" si="49"/>
        <v>0</v>
      </c>
      <c r="AJ852" s="49">
        <f t="shared" si="49"/>
        <v>0</v>
      </c>
      <c r="AK852" s="49">
        <f t="shared" si="49"/>
        <v>0</v>
      </c>
      <c r="AL852" s="49">
        <f t="shared" si="49"/>
        <v>0</v>
      </c>
      <c r="AM852" s="31">
        <f t="shared" si="49"/>
        <v>0</v>
      </c>
      <c r="AN852" s="31">
        <f t="shared" si="49"/>
        <v>0</v>
      </c>
      <c r="AO852" s="31">
        <f>SUM(AO850+AO851)</f>
        <v>0</v>
      </c>
      <c r="AP852" s="31">
        <f t="shared" si="49"/>
        <v>0</v>
      </c>
      <c r="AQ852" s="31">
        <f t="shared" si="49"/>
        <v>0</v>
      </c>
      <c r="AR852" s="31">
        <f t="shared" si="49"/>
        <v>0</v>
      </c>
      <c r="AS852" s="31">
        <f t="shared" si="49"/>
        <v>0</v>
      </c>
      <c r="AT852" s="31">
        <f t="shared" si="49"/>
        <v>0</v>
      </c>
      <c r="AU852" s="31">
        <f t="shared" si="49"/>
        <v>0</v>
      </c>
      <c r="AV852" s="31">
        <f>SUM(AV850+AV851)</f>
        <v>0</v>
      </c>
      <c r="AW852" s="31">
        <f t="shared" si="49"/>
        <v>0</v>
      </c>
      <c r="AX852" s="49">
        <f t="shared" si="49"/>
        <v>0</v>
      </c>
      <c r="AY852" s="49">
        <f t="shared" si="49"/>
        <v>0</v>
      </c>
      <c r="AZ852" s="49">
        <f t="shared" ref="AZ852:BW852" si="50">SUM(AZ850+AZ851)</f>
        <v>0</v>
      </c>
      <c r="BA852" s="49">
        <f t="shared" si="50"/>
        <v>0</v>
      </c>
      <c r="BB852" s="49">
        <f t="shared" si="50"/>
        <v>0</v>
      </c>
      <c r="BC852" s="49">
        <f t="shared" si="50"/>
        <v>0</v>
      </c>
      <c r="BD852" s="49">
        <f t="shared" si="50"/>
        <v>0</v>
      </c>
      <c r="BE852" s="49">
        <f t="shared" si="50"/>
        <v>0</v>
      </c>
      <c r="BF852" s="49">
        <f t="shared" si="50"/>
        <v>0</v>
      </c>
      <c r="BG852" s="49">
        <f t="shared" si="50"/>
        <v>0</v>
      </c>
      <c r="BH852" s="49">
        <f t="shared" si="50"/>
        <v>0</v>
      </c>
      <c r="BI852" s="50">
        <f t="shared" si="50"/>
        <v>0</v>
      </c>
      <c r="BJ852" s="50">
        <f t="shared" si="50"/>
        <v>0</v>
      </c>
      <c r="BK852" s="50">
        <f t="shared" si="50"/>
        <v>0</v>
      </c>
      <c r="BL852" s="51">
        <f t="shared" si="50"/>
        <v>0</v>
      </c>
      <c r="BM852" s="51">
        <f t="shared" si="50"/>
        <v>0</v>
      </c>
      <c r="BN852" s="51">
        <f t="shared" si="50"/>
        <v>0</v>
      </c>
      <c r="BO852" s="51">
        <f t="shared" si="50"/>
        <v>0</v>
      </c>
      <c r="BP852" s="51">
        <f t="shared" si="50"/>
        <v>0</v>
      </c>
      <c r="BQ852" s="51">
        <f t="shared" si="50"/>
        <v>0</v>
      </c>
      <c r="BR852" s="52">
        <f t="shared" si="50"/>
        <v>0</v>
      </c>
      <c r="BS852" s="52">
        <f t="shared" si="50"/>
        <v>0</v>
      </c>
      <c r="BT852" s="52">
        <f t="shared" si="50"/>
        <v>0</v>
      </c>
      <c r="BU852" s="52">
        <f t="shared" si="50"/>
        <v>0</v>
      </c>
      <c r="BV852" s="52">
        <f t="shared" si="50"/>
        <v>0</v>
      </c>
      <c r="BW852" s="52">
        <f t="shared" si="50"/>
        <v>0</v>
      </c>
      <c r="BX852" s="53"/>
      <c r="BY852" s="7"/>
    </row>
    <row r="853" spans="2:77">
      <c r="B853" s="18"/>
      <c r="C853" s="18"/>
      <c r="D853" s="18"/>
      <c r="E853" s="18"/>
      <c r="F853" s="18"/>
      <c r="G853" s="18"/>
      <c r="H853" s="18"/>
      <c r="I853" s="18"/>
      <c r="J853" s="18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18"/>
      <c r="BJ853" s="18"/>
      <c r="BK853" s="18"/>
      <c r="BL853" s="47"/>
      <c r="BM853" s="47"/>
      <c r="BN853" s="47"/>
      <c r="BO853" s="47"/>
      <c r="BP853" s="47"/>
      <c r="BQ853" s="47"/>
      <c r="BR853" s="35"/>
      <c r="BS853" s="35"/>
      <c r="BT853" s="35"/>
      <c r="BU853" s="35"/>
      <c r="BV853" s="35"/>
      <c r="BW853" s="35"/>
      <c r="BX853" s="35"/>
    </row>
    <row r="854" spans="2:77">
      <c r="B854" s="18"/>
      <c r="C854" s="18"/>
      <c r="D854" s="18"/>
      <c r="E854" s="18"/>
      <c r="F854" s="18"/>
      <c r="G854" s="18"/>
      <c r="H854" s="18"/>
      <c r="I854" s="18"/>
      <c r="J854" s="18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18"/>
      <c r="BJ854" s="18"/>
      <c r="BK854" s="18"/>
      <c r="BL854" s="47"/>
      <c r="BM854" s="47"/>
      <c r="BN854" s="47"/>
      <c r="BO854" s="47"/>
      <c r="BP854" s="47"/>
      <c r="BQ854" s="47"/>
      <c r="BR854" s="35"/>
      <c r="BS854" s="35"/>
      <c r="BT854" s="35"/>
      <c r="BU854" s="35"/>
      <c r="BV854" s="35"/>
      <c r="BW854" s="35"/>
      <c r="BX854" s="35"/>
    </row>
    <row r="855" spans="2:77">
      <c r="B855" s="18"/>
      <c r="C855" s="18"/>
      <c r="D855" s="18"/>
      <c r="E855" s="18"/>
      <c r="F855" s="18"/>
      <c r="G855" s="18"/>
      <c r="H855" s="18"/>
      <c r="I855" s="18"/>
      <c r="J855" s="18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18"/>
      <c r="BJ855" s="18"/>
      <c r="BK855" s="18"/>
      <c r="BL855" s="47"/>
      <c r="BM855" s="47"/>
      <c r="BN855" s="47"/>
      <c r="BO855" s="47"/>
      <c r="BP855" s="47"/>
      <c r="BQ855" s="47"/>
      <c r="BR855" s="35"/>
      <c r="BS855" s="35"/>
      <c r="BT855" s="35"/>
      <c r="BU855" s="35"/>
      <c r="BV855" s="35"/>
      <c r="BW855" s="35"/>
      <c r="BX855" s="35"/>
    </row>
    <row r="856" spans="2:77">
      <c r="B856" s="18"/>
      <c r="C856" s="18"/>
      <c r="D856" s="18"/>
      <c r="E856" s="18"/>
      <c r="F856" s="18"/>
      <c r="G856" s="18"/>
      <c r="H856" s="18"/>
      <c r="I856" s="18"/>
      <c r="J856" s="18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18"/>
      <c r="BJ856" s="18"/>
      <c r="BK856" s="18"/>
      <c r="BL856" s="47"/>
      <c r="BM856" s="47"/>
      <c r="BN856" s="47"/>
      <c r="BO856" s="47"/>
      <c r="BP856" s="47"/>
      <c r="BQ856" s="47"/>
      <c r="BR856" s="35"/>
      <c r="BS856" s="35"/>
      <c r="BT856" s="35"/>
      <c r="BU856" s="35"/>
      <c r="BV856" s="35"/>
      <c r="BW856" s="35"/>
      <c r="BX856" s="35"/>
    </row>
    <row r="857" spans="2:77">
      <c r="B857" s="18"/>
      <c r="C857" s="18"/>
      <c r="D857" s="18"/>
      <c r="E857" s="18"/>
      <c r="F857" s="18"/>
      <c r="G857" s="18"/>
      <c r="H857" s="18"/>
      <c r="I857" s="18"/>
      <c r="J857" s="18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18"/>
      <c r="BJ857" s="18"/>
      <c r="BK857" s="18"/>
      <c r="BL857" s="47"/>
      <c r="BM857" s="47"/>
      <c r="BN857" s="47"/>
      <c r="BO857" s="47"/>
      <c r="BP857" s="47"/>
      <c r="BQ857" s="47"/>
      <c r="BR857" s="35"/>
      <c r="BS857" s="35"/>
      <c r="BT857" s="35"/>
      <c r="BU857" s="35"/>
      <c r="BV857" s="35"/>
      <c r="BW857" s="35"/>
      <c r="BX857" s="35"/>
    </row>
    <row r="858" spans="2:77">
      <c r="B858" s="18"/>
      <c r="C858" s="18"/>
      <c r="D858" s="18"/>
      <c r="E858" s="18"/>
      <c r="F858" s="18"/>
      <c r="G858" s="18"/>
      <c r="H858" s="18"/>
      <c r="I858" s="18"/>
      <c r="J858" s="18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18"/>
      <c r="BJ858" s="18"/>
      <c r="BK858" s="18"/>
      <c r="BL858" s="47"/>
      <c r="BM858" s="47"/>
      <c r="BN858" s="47"/>
      <c r="BO858" s="47"/>
      <c r="BP858" s="47"/>
      <c r="BQ858" s="47"/>
      <c r="BR858" s="35"/>
      <c r="BS858" s="35"/>
      <c r="BT858" s="35"/>
      <c r="BU858" s="35"/>
      <c r="BV858" s="35"/>
      <c r="BW858" s="35"/>
      <c r="BX858" s="35"/>
    </row>
    <row r="859" spans="2:77">
      <c r="B859" s="18"/>
      <c r="C859" s="18"/>
      <c r="D859" s="18"/>
      <c r="E859" s="18"/>
      <c r="F859" s="18"/>
      <c r="G859" s="18"/>
      <c r="H859" s="18"/>
      <c r="I859" s="18"/>
      <c r="J859" s="18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18"/>
      <c r="BJ859" s="18"/>
      <c r="BK859" s="18"/>
      <c r="BL859" s="47"/>
      <c r="BM859" s="47"/>
      <c r="BN859" s="47"/>
      <c r="BO859" s="47"/>
      <c r="BP859" s="47"/>
      <c r="BQ859" s="47"/>
      <c r="BR859" s="35"/>
      <c r="BS859" s="35"/>
      <c r="BT859" s="35"/>
      <c r="BU859" s="35"/>
      <c r="BV859" s="35"/>
      <c r="BW859" s="35"/>
      <c r="BX859" s="35"/>
    </row>
    <row r="860" spans="2:77">
      <c r="B860" s="18"/>
      <c r="C860" s="18"/>
      <c r="D860" s="18"/>
      <c r="E860" s="18"/>
      <c r="F860" s="18"/>
      <c r="G860" s="18"/>
      <c r="H860" s="18"/>
      <c r="I860" s="18"/>
      <c r="J860" s="18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18"/>
      <c r="BJ860" s="18"/>
      <c r="BK860" s="18"/>
      <c r="BL860" s="47"/>
      <c r="BM860" s="47"/>
      <c r="BN860" s="47"/>
      <c r="BO860" s="47"/>
      <c r="BP860" s="47"/>
      <c r="BQ860" s="47"/>
      <c r="BR860" s="35"/>
      <c r="BS860" s="35"/>
      <c r="BT860" s="35"/>
      <c r="BU860" s="35"/>
      <c r="BV860" s="35"/>
      <c r="BW860" s="35"/>
      <c r="BX860" s="35"/>
    </row>
    <row r="861" spans="2:77">
      <c r="B861" s="18"/>
      <c r="C861" s="18"/>
      <c r="D861" s="18"/>
      <c r="E861" s="18"/>
      <c r="F861" s="18"/>
      <c r="G861" s="18"/>
      <c r="H861" s="18"/>
      <c r="I861" s="18"/>
      <c r="J861" s="18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18"/>
      <c r="BJ861" s="18"/>
      <c r="BK861" s="18"/>
      <c r="BL861" s="47"/>
      <c r="BM861" s="47"/>
      <c r="BN861" s="47"/>
      <c r="BO861" s="47"/>
      <c r="BP861" s="47"/>
      <c r="BQ861" s="47"/>
      <c r="BR861" s="35"/>
      <c r="BS861" s="35"/>
      <c r="BT861" s="35"/>
      <c r="BU861" s="35"/>
      <c r="BV861" s="35"/>
      <c r="BW861" s="35"/>
      <c r="BX861" s="35"/>
    </row>
    <row r="862" spans="2:77">
      <c r="B862" s="18"/>
      <c r="C862" s="18"/>
      <c r="D862" s="18"/>
      <c r="E862" s="18"/>
      <c r="F862" s="18"/>
      <c r="G862" s="18"/>
      <c r="H862" s="18"/>
      <c r="I862" s="18"/>
      <c r="J862" s="18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18"/>
      <c r="BJ862" s="18"/>
      <c r="BK862" s="18"/>
      <c r="BL862" s="47"/>
      <c r="BM862" s="47"/>
      <c r="BN862" s="47"/>
      <c r="BO862" s="47"/>
      <c r="BP862" s="47"/>
      <c r="BQ862" s="47"/>
      <c r="BR862" s="35"/>
      <c r="BS862" s="35"/>
      <c r="BT862" s="35"/>
      <c r="BU862" s="35"/>
      <c r="BV862" s="35"/>
      <c r="BW862" s="35"/>
      <c r="BX862" s="35"/>
    </row>
    <row r="863" spans="2:77">
      <c r="B863" s="18"/>
      <c r="C863" s="18"/>
      <c r="D863" s="18"/>
      <c r="E863" s="18"/>
      <c r="F863" s="18"/>
      <c r="G863" s="18"/>
      <c r="H863" s="18"/>
      <c r="I863" s="18"/>
      <c r="J863" s="18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18"/>
      <c r="BJ863" s="18"/>
      <c r="BK863" s="18"/>
      <c r="BL863" s="47"/>
      <c r="BM863" s="47"/>
      <c r="BN863" s="47"/>
      <c r="BO863" s="47"/>
      <c r="BP863" s="47"/>
      <c r="BQ863" s="47"/>
      <c r="BR863" s="35"/>
      <c r="BS863" s="35"/>
      <c r="BT863" s="35"/>
      <c r="BU863" s="35"/>
      <c r="BV863" s="35"/>
      <c r="BW863" s="35"/>
      <c r="BX863" s="35"/>
    </row>
    <row r="864" spans="2:77">
      <c r="B864" s="18"/>
      <c r="C864" s="18"/>
      <c r="D864" s="18"/>
      <c r="E864" s="18"/>
      <c r="F864" s="18"/>
      <c r="G864" s="18"/>
      <c r="H864" s="18"/>
      <c r="I864" s="18"/>
      <c r="J864" s="18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18"/>
      <c r="BJ864" s="18"/>
      <c r="BK864" s="18"/>
      <c r="BL864" s="47"/>
      <c r="BM864" s="47"/>
      <c r="BN864" s="47"/>
      <c r="BO864" s="47"/>
      <c r="BP864" s="47"/>
      <c r="BQ864" s="47"/>
      <c r="BR864" s="35"/>
      <c r="BS864" s="35"/>
      <c r="BT864" s="35"/>
      <c r="BU864" s="35"/>
      <c r="BV864" s="35"/>
      <c r="BW864" s="35"/>
      <c r="BX864" s="35"/>
    </row>
    <row r="865" spans="2:63">
      <c r="B865" s="18"/>
      <c r="C865" s="18"/>
      <c r="D865" s="18"/>
      <c r="E865" s="18"/>
      <c r="F865" s="18"/>
      <c r="G865" s="18"/>
      <c r="H865" s="18"/>
      <c r="I865" s="18"/>
      <c r="J865" s="18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18"/>
      <c r="BJ865" s="18"/>
      <c r="BK865" s="18"/>
    </row>
    <row r="866" spans="2:63"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</row>
  </sheetData>
  <autoFilter ref="A1:BY92" xr:uid="{00000000-0009-0000-0000-000000000000}"/>
  <mergeCells count="14">
    <mergeCell ref="A2:A91"/>
    <mergeCell ref="A95:A167"/>
    <mergeCell ref="B850:D850"/>
    <mergeCell ref="B851:D851"/>
    <mergeCell ref="B852:D852"/>
    <mergeCell ref="B849:D849"/>
    <mergeCell ref="A775:A845"/>
    <mergeCell ref="A715:A771"/>
    <mergeCell ref="A648:A711"/>
    <mergeCell ref="A469:A547"/>
    <mergeCell ref="A171:A296"/>
    <mergeCell ref="A373:A465"/>
    <mergeCell ref="A300:A369"/>
    <mergeCell ref="A551:A644"/>
  </mergeCells>
  <pageMargins left="7.874015748031496E-2" right="7.874015748031496E-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9bc81c-350d-4f73-af91-937f68a9fcf1" xsi:nil="true"/>
    <lcf76f155ced4ddcb4097134ff3c332f xmlns="396d7223-88cf-4fc7-a305-b77b6c8652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3616775794E1468D9253DAFEC0ACFA" ma:contentTypeVersion="10" ma:contentTypeDescription="Crée un document." ma:contentTypeScope="" ma:versionID="3ed56c01a313b88c7cffc7d7637c429a">
  <xsd:schema xmlns:xsd="http://www.w3.org/2001/XMLSchema" xmlns:xs="http://www.w3.org/2001/XMLSchema" xmlns:p="http://schemas.microsoft.com/office/2006/metadata/properties" xmlns:ns2="396d7223-88cf-4fc7-a305-b77b6c8652d6" xmlns:ns3="cf9bc81c-350d-4f73-af91-937f68a9fcf1" targetNamespace="http://schemas.microsoft.com/office/2006/metadata/properties" ma:root="true" ma:fieldsID="96f10b89d03b898dd24a0e020062f74d" ns2:_="" ns3:_="">
    <xsd:import namespace="396d7223-88cf-4fc7-a305-b77b6c8652d6"/>
    <xsd:import namespace="cf9bc81c-350d-4f73-af91-937f68a9fc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d7223-88cf-4fc7-a305-b77b6c865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5b653c1-67c0-47ee-9f90-5adcbc6bc1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bc81c-350d-4f73-af91-937f68a9fc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995f07-59da-4b14-a5f4-4b87b4001703}" ma:internalName="TaxCatchAll" ma:showField="CatchAllData" ma:web="cf9bc81c-350d-4f73-af91-937f68a9fc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409B9-9289-4A5E-B572-2E32EA5F4F23}"/>
</file>

<file path=customXml/itemProps2.xml><?xml version="1.0" encoding="utf-8"?>
<ds:datastoreItem xmlns:ds="http://schemas.openxmlformats.org/officeDocument/2006/customXml" ds:itemID="{C4A218DE-831A-45F7-8734-DC312F7D15AF}"/>
</file>

<file path=customXml/itemProps3.xml><?xml version="1.0" encoding="utf-8"?>
<ds:datastoreItem xmlns:ds="http://schemas.openxmlformats.org/officeDocument/2006/customXml" ds:itemID="{8BC5E78E-C6CB-44AF-8513-A57E7DA7B7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Salmen Mahjoub</cp:lastModifiedBy>
  <cp:revision/>
  <dcterms:created xsi:type="dcterms:W3CDTF">2006-09-16T00:00:00Z</dcterms:created>
  <dcterms:modified xsi:type="dcterms:W3CDTF">2026-03-26T12:36:20Z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0x010100373616775794E1468D9253DAFEC0ACFA</vt:lpwstr>
  </property>
  <property fmtid="{D5CDD505-2E9C-101B-9397-08002B2CF9AE}" pid="3" name="MediaServiceImageTags">
    <vt:lpwstr/>
  </property>
</Properties>
</file>